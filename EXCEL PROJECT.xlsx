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15bc8942c80b848c/Documents/"/>
    </mc:Choice>
  </mc:AlternateContent>
  <xr:revisionPtr revIDLastSave="0" documentId="8_{0F022969-2B74-4119-B2BF-B67821AC6366}" xr6:coauthVersionLast="47" xr6:coauthVersionMax="47" xr10:uidLastSave="{00000000-0000-0000-0000-000000000000}"/>
  <bookViews>
    <workbookView xWindow="-98" yWindow="-98" windowWidth="21795" windowHeight="13695" tabRatio="594" activeTab="4" xr2:uid="{00000000-000D-0000-FFFF-FFFF00000000}"/>
  </bookViews>
  <sheets>
    <sheet name="Raw_Actuals" sheetId="1" r:id="rId1"/>
    <sheet name="Budget_Table" sheetId="2" r:id="rId2"/>
    <sheet name="Variance_Tracker" sheetId="3" r:id="rId3"/>
    <sheet name="Dashboard" sheetId="5" r:id="rId4"/>
    <sheet name="📋 README" sheetId="4" r:id="rId5"/>
  </sheets>
  <definedNames>
    <definedName name="_xlchart.v1.0" hidden="1">Dashboard!$P$4:$P$9</definedName>
    <definedName name="_xlchart.v1.1" hidden="1">Dashboard!$Q$3</definedName>
    <definedName name="_xlchart.v1.2" hidden="1">Dashboard!$Q$4:$Q$9</definedName>
    <definedName name="_xlchart.v1.3" hidden="1">Dashboard!$R$3</definedName>
    <definedName name="_xlchart.v1.4" hidden="1">Dashboard!$R$4:$R$9</definedName>
    <definedName name="_xlchart.v1.5" hidden="1">Dashboard!$U$4:$U$9</definedName>
    <definedName name="_xlchart.v1.6" hidden="1">Dashboard!$V$3</definedName>
    <definedName name="_xlchart.v1.7" hidden="1">Dashboard!$V$4:$V$9</definedName>
    <definedName name="Slicer_Department">#N/A</definedName>
    <definedName name="Slicer_Quarter">#N/A</definedName>
    <definedName name="Slicer_Status">#N/A</definedName>
  </definedNames>
  <calcPr calcId="191029" iterateDelta="1E-4"/>
  <pivotCaches>
    <pivotCache cacheId="8"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3" l="1"/>
  <c r="I5" i="3" s="1"/>
  <c r="H6" i="3"/>
  <c r="I6" i="3" s="1"/>
  <c r="H7" i="3"/>
  <c r="I7" i="3" s="1"/>
  <c r="H8" i="3"/>
  <c r="I8" i="3" s="1"/>
  <c r="J8" i="3" s="1"/>
  <c r="H9" i="3"/>
  <c r="I9" i="3" s="1"/>
  <c r="H10" i="3"/>
  <c r="I10" i="3" s="1"/>
  <c r="H11" i="3"/>
  <c r="I11" i="3" s="1"/>
  <c r="H12" i="3"/>
  <c r="I12" i="3" s="1"/>
  <c r="H13" i="3"/>
  <c r="I13" i="3" s="1"/>
  <c r="H14" i="3"/>
  <c r="I14" i="3" s="1"/>
  <c r="H15" i="3"/>
  <c r="I15" i="3" s="1"/>
  <c r="H16" i="3"/>
  <c r="I16" i="3" s="1"/>
  <c r="H17" i="3"/>
  <c r="I17" i="3" s="1"/>
  <c r="H18" i="3"/>
  <c r="I18" i="3" s="1"/>
  <c r="H19" i="3"/>
  <c r="I19" i="3" s="1"/>
  <c r="H20" i="3"/>
  <c r="I20" i="3" s="1"/>
  <c r="H21" i="3"/>
  <c r="I21" i="3" s="1"/>
  <c r="H22" i="3"/>
  <c r="I22" i="3" s="1"/>
  <c r="H23" i="3"/>
  <c r="I23" i="3" s="1"/>
  <c r="H24" i="3"/>
  <c r="I24" i="3" s="1"/>
  <c r="H25" i="3"/>
  <c r="I25" i="3" s="1"/>
  <c r="H26" i="3"/>
  <c r="I26" i="3" s="1"/>
  <c r="H27" i="3"/>
  <c r="I27" i="3" s="1"/>
  <c r="H28" i="3"/>
  <c r="I28" i="3" s="1"/>
  <c r="H29" i="3"/>
  <c r="I29" i="3" s="1"/>
  <c r="H30" i="3"/>
  <c r="I30" i="3" s="1"/>
  <c r="H31" i="3"/>
  <c r="I31" i="3" s="1"/>
  <c r="H32" i="3"/>
  <c r="I32" i="3" s="1"/>
  <c r="H33" i="3"/>
  <c r="I33" i="3" s="1"/>
  <c r="H34" i="3"/>
  <c r="I34" i="3" s="1"/>
  <c r="H35" i="3"/>
  <c r="I35" i="3" s="1"/>
  <c r="H36" i="3"/>
  <c r="I36" i="3" s="1"/>
  <c r="H37" i="3"/>
  <c r="I37" i="3" s="1"/>
  <c r="H38" i="3"/>
  <c r="I38" i="3" s="1"/>
  <c r="H39" i="3"/>
  <c r="I39" i="3" s="1"/>
  <c r="H40" i="3"/>
  <c r="I40" i="3" s="1"/>
  <c r="H41" i="3"/>
  <c r="I41" i="3" s="1"/>
  <c r="H42" i="3"/>
  <c r="I42" i="3" s="1"/>
  <c r="H43" i="3"/>
  <c r="I43" i="3" s="1"/>
  <c r="H44" i="3"/>
  <c r="I44" i="3" s="1"/>
  <c r="H45" i="3"/>
  <c r="I45" i="3" s="1"/>
  <c r="H46" i="3"/>
  <c r="I46" i="3" s="1"/>
  <c r="J46" i="3" s="1"/>
  <c r="K46" i="3" s="1"/>
  <c r="H47" i="3"/>
  <c r="I47" i="3" s="1"/>
  <c r="H48" i="3"/>
  <c r="I48" i="3" s="1"/>
  <c r="H49" i="3"/>
  <c r="I49" i="3" s="1"/>
  <c r="H50" i="3"/>
  <c r="I50" i="3" s="1"/>
  <c r="H51" i="3"/>
  <c r="I51" i="3" s="1"/>
  <c r="H52" i="3"/>
  <c r="I52" i="3" s="1"/>
  <c r="H53" i="3"/>
  <c r="I53" i="3" s="1"/>
  <c r="H54" i="3"/>
  <c r="I54" i="3" s="1"/>
  <c r="H55" i="3"/>
  <c r="I55" i="3" s="1"/>
  <c r="H56" i="3"/>
  <c r="I56" i="3" s="1"/>
  <c r="H57" i="3"/>
  <c r="I57" i="3" s="1"/>
  <c r="H58" i="3"/>
  <c r="I58" i="3" s="1"/>
  <c r="J58" i="3" s="1"/>
  <c r="K58" i="3" s="1"/>
  <c r="H59" i="3"/>
  <c r="I59" i="3" s="1"/>
  <c r="H60" i="3"/>
  <c r="I60" i="3" s="1"/>
  <c r="H61" i="3"/>
  <c r="I61" i="3" s="1"/>
  <c r="H62" i="3"/>
  <c r="I62" i="3" s="1"/>
  <c r="H63" i="3"/>
  <c r="I63" i="3" s="1"/>
  <c r="H64" i="3"/>
  <c r="I64" i="3" s="1"/>
  <c r="H65" i="3"/>
  <c r="I65" i="3" s="1"/>
  <c r="H66" i="3"/>
  <c r="I66" i="3" s="1"/>
  <c r="H67" i="3"/>
  <c r="I67" i="3" s="1"/>
  <c r="H68" i="3"/>
  <c r="I68" i="3" s="1"/>
  <c r="H69" i="3"/>
  <c r="I69" i="3" s="1"/>
  <c r="H70" i="3"/>
  <c r="I70" i="3" s="1"/>
  <c r="J70" i="3" s="1"/>
  <c r="K70" i="3" s="1"/>
  <c r="H71" i="3"/>
  <c r="I71" i="3" s="1"/>
  <c r="H72" i="3"/>
  <c r="I72" i="3" s="1"/>
  <c r="H73" i="3"/>
  <c r="I73" i="3" s="1"/>
  <c r="H74" i="3"/>
  <c r="I74" i="3" s="1"/>
  <c r="H75" i="3"/>
  <c r="I75" i="3" s="1"/>
  <c r="H76" i="3"/>
  <c r="I76" i="3" s="1"/>
  <c r="H77" i="3"/>
  <c r="I77" i="3" s="1"/>
  <c r="H78" i="3"/>
  <c r="I78" i="3" s="1"/>
  <c r="H79" i="3"/>
  <c r="I79" i="3" s="1"/>
  <c r="H80" i="3"/>
  <c r="I80" i="3" s="1"/>
  <c r="H81" i="3"/>
  <c r="I81" i="3" s="1"/>
  <c r="H82" i="3"/>
  <c r="I82" i="3" s="1"/>
  <c r="J82" i="3" s="1"/>
  <c r="K82" i="3" s="1"/>
  <c r="H83" i="3"/>
  <c r="I83" i="3" s="1"/>
  <c r="H84" i="3"/>
  <c r="I84" i="3" s="1"/>
  <c r="H85" i="3"/>
  <c r="I85" i="3" s="1"/>
  <c r="H86" i="3"/>
  <c r="I86" i="3" s="1"/>
  <c r="H87" i="3"/>
  <c r="I87" i="3" s="1"/>
  <c r="H88" i="3"/>
  <c r="I88" i="3" s="1"/>
  <c r="H89" i="3"/>
  <c r="I89" i="3" s="1"/>
  <c r="H90" i="3"/>
  <c r="I90" i="3" s="1"/>
  <c r="H91" i="3"/>
  <c r="I91" i="3" s="1"/>
  <c r="H92" i="3"/>
  <c r="I92" i="3" s="1"/>
  <c r="H93" i="3"/>
  <c r="I93" i="3" s="1"/>
  <c r="H94" i="3"/>
  <c r="I94" i="3" s="1"/>
  <c r="J94" i="3" s="1"/>
  <c r="K94" i="3" s="1"/>
  <c r="H95" i="3"/>
  <c r="I95" i="3" s="1"/>
  <c r="H96" i="3"/>
  <c r="I96" i="3" s="1"/>
  <c r="H97" i="3"/>
  <c r="I97" i="3" s="1"/>
  <c r="H98" i="3"/>
  <c r="I98" i="3" s="1"/>
  <c r="H99" i="3"/>
  <c r="I99" i="3" s="1"/>
  <c r="H100" i="3"/>
  <c r="I100" i="3" s="1"/>
  <c r="H101" i="3"/>
  <c r="I101" i="3" s="1"/>
  <c r="H102" i="3"/>
  <c r="I102" i="3" s="1"/>
  <c r="H103" i="3"/>
  <c r="I103" i="3" s="1"/>
  <c r="H104" i="3"/>
  <c r="I104" i="3" s="1"/>
  <c r="H105" i="3"/>
  <c r="I105" i="3" s="1"/>
  <c r="H106" i="3"/>
  <c r="I106" i="3" s="1"/>
  <c r="J106" i="3" s="1"/>
  <c r="K106" i="3" s="1"/>
  <c r="H107" i="3"/>
  <c r="I107" i="3" s="1"/>
  <c r="H108" i="3"/>
  <c r="I108" i="3" s="1"/>
  <c r="H109" i="3"/>
  <c r="I109" i="3" s="1"/>
  <c r="H110" i="3"/>
  <c r="I110" i="3" s="1"/>
  <c r="H111" i="3"/>
  <c r="I111" i="3" s="1"/>
  <c r="H112" i="3"/>
  <c r="I112" i="3" s="1"/>
  <c r="H113" i="3"/>
  <c r="I113" i="3" s="1"/>
  <c r="H114" i="3"/>
  <c r="I114" i="3" s="1"/>
  <c r="H115" i="3"/>
  <c r="I115" i="3" s="1"/>
  <c r="H116" i="3"/>
  <c r="I116" i="3" s="1"/>
  <c r="H117" i="3"/>
  <c r="I117" i="3" s="1"/>
  <c r="H118" i="3"/>
  <c r="I118" i="3" s="1"/>
  <c r="J118" i="3" s="1"/>
  <c r="L118" i="3" s="1"/>
  <c r="H119" i="3"/>
  <c r="I119" i="3" s="1"/>
  <c r="H120" i="3"/>
  <c r="I120" i="3" s="1"/>
  <c r="H121" i="3"/>
  <c r="I121" i="3" s="1"/>
  <c r="H122" i="3"/>
  <c r="I122" i="3" s="1"/>
  <c r="H123" i="3"/>
  <c r="I123" i="3" s="1"/>
  <c r="H124" i="3"/>
  <c r="I124" i="3" s="1"/>
  <c r="H125" i="3"/>
  <c r="I125" i="3" s="1"/>
  <c r="H126" i="3"/>
  <c r="I126" i="3" s="1"/>
  <c r="H127" i="3"/>
  <c r="I127" i="3" s="1"/>
  <c r="H128" i="3"/>
  <c r="I128" i="3" s="1"/>
  <c r="H129" i="3"/>
  <c r="I129" i="3" s="1"/>
  <c r="H130" i="3"/>
  <c r="I130" i="3" s="1"/>
  <c r="H131" i="3"/>
  <c r="I131" i="3" s="1"/>
  <c r="H132" i="3"/>
  <c r="I132" i="3" s="1"/>
  <c r="H133" i="3"/>
  <c r="I133" i="3" s="1"/>
  <c r="H134" i="3"/>
  <c r="I134" i="3" s="1"/>
  <c r="H135" i="3"/>
  <c r="I135" i="3" s="1"/>
  <c r="H136" i="3"/>
  <c r="I136" i="3" s="1"/>
  <c r="H137" i="3"/>
  <c r="I137" i="3" s="1"/>
  <c r="H138" i="3"/>
  <c r="I138" i="3" s="1"/>
  <c r="H139" i="3"/>
  <c r="I139" i="3" s="1"/>
  <c r="H140" i="3"/>
  <c r="I140" i="3" s="1"/>
  <c r="H141" i="3"/>
  <c r="I141" i="3" s="1"/>
  <c r="H142" i="3"/>
  <c r="I142" i="3" s="1"/>
  <c r="H143" i="3"/>
  <c r="I143" i="3" s="1"/>
  <c r="H144" i="3"/>
  <c r="I144" i="3" s="1"/>
  <c r="H145" i="3"/>
  <c r="I145" i="3" s="1"/>
  <c r="H146" i="3"/>
  <c r="I146" i="3" s="1"/>
  <c r="H147" i="3"/>
  <c r="I147" i="3" s="1"/>
  <c r="H148" i="3"/>
  <c r="I148" i="3" s="1"/>
  <c r="H149" i="3"/>
  <c r="I149" i="3" s="1"/>
  <c r="H150" i="3"/>
  <c r="I150" i="3" s="1"/>
  <c r="H151" i="3"/>
  <c r="I151" i="3" s="1"/>
  <c r="H152" i="3"/>
  <c r="I152" i="3" s="1"/>
  <c r="H153" i="3"/>
  <c r="I153" i="3" s="1"/>
  <c r="H154" i="3"/>
  <c r="I154" i="3" s="1"/>
  <c r="H155" i="3"/>
  <c r="I155" i="3" s="1"/>
  <c r="H156" i="3"/>
  <c r="I156" i="3" s="1"/>
  <c r="H157" i="3"/>
  <c r="I157" i="3" s="1"/>
  <c r="H158" i="3"/>
  <c r="I158" i="3" s="1"/>
  <c r="H159" i="3"/>
  <c r="I159" i="3" s="1"/>
  <c r="H160" i="3"/>
  <c r="I160" i="3" s="1"/>
  <c r="H161" i="3"/>
  <c r="I161" i="3" s="1"/>
  <c r="H162" i="3"/>
  <c r="I162" i="3" s="1"/>
  <c r="H163" i="3"/>
  <c r="I163" i="3" s="1"/>
  <c r="H164" i="3"/>
  <c r="I164" i="3" s="1"/>
  <c r="H165" i="3"/>
  <c r="I165" i="3" s="1"/>
  <c r="H166" i="3"/>
  <c r="I166" i="3" s="1"/>
  <c r="H167" i="3"/>
  <c r="I167" i="3" s="1"/>
  <c r="H168" i="3"/>
  <c r="I168" i="3" s="1"/>
  <c r="H169" i="3"/>
  <c r="I169" i="3" s="1"/>
  <c r="H170" i="3"/>
  <c r="I170" i="3" s="1"/>
  <c r="H171" i="3"/>
  <c r="I171" i="3" s="1"/>
  <c r="H172" i="3"/>
  <c r="I172" i="3" s="1"/>
  <c r="H173" i="3"/>
  <c r="I173" i="3" s="1"/>
  <c r="H174" i="3"/>
  <c r="I174" i="3" s="1"/>
  <c r="H175" i="3"/>
  <c r="I175" i="3" s="1"/>
  <c r="H176" i="3"/>
  <c r="I176" i="3" s="1"/>
  <c r="H177" i="3"/>
  <c r="I177" i="3" s="1"/>
  <c r="H178" i="3"/>
  <c r="I178" i="3" s="1"/>
  <c r="H179" i="3"/>
  <c r="I179" i="3" s="1"/>
  <c r="H180" i="3"/>
  <c r="I180" i="3" s="1"/>
  <c r="H181" i="3"/>
  <c r="I181" i="3" s="1"/>
  <c r="H182" i="3"/>
  <c r="I182" i="3" s="1"/>
  <c r="H183" i="3"/>
  <c r="I183" i="3" s="1"/>
  <c r="H184" i="3"/>
  <c r="I184" i="3" s="1"/>
  <c r="H185" i="3"/>
  <c r="I185" i="3" s="1"/>
  <c r="H186" i="3"/>
  <c r="I186" i="3" s="1"/>
  <c r="H187" i="3"/>
  <c r="I187" i="3" s="1"/>
  <c r="H188" i="3"/>
  <c r="I188" i="3" s="1"/>
  <c r="H189" i="3"/>
  <c r="I189" i="3" s="1"/>
  <c r="H190" i="3"/>
  <c r="I190" i="3" s="1"/>
  <c r="H191" i="3"/>
  <c r="I191" i="3" s="1"/>
  <c r="H192" i="3"/>
  <c r="I192" i="3" s="1"/>
  <c r="H193" i="3"/>
  <c r="I193" i="3" s="1"/>
  <c r="H194" i="3"/>
  <c r="I194" i="3" s="1"/>
  <c r="H195" i="3"/>
  <c r="I195" i="3" s="1"/>
  <c r="H196" i="3"/>
  <c r="I196" i="3" s="1"/>
  <c r="H197" i="3"/>
  <c r="I197" i="3" s="1"/>
  <c r="H198" i="3"/>
  <c r="I198" i="3" s="1"/>
  <c r="H199" i="3"/>
  <c r="I199" i="3" s="1"/>
  <c r="H200" i="3"/>
  <c r="I200" i="3" s="1"/>
  <c r="H201" i="3"/>
  <c r="I201" i="3" s="1"/>
  <c r="H202" i="3"/>
  <c r="I202" i="3" s="1"/>
  <c r="H203" i="3"/>
  <c r="I203" i="3" s="1"/>
  <c r="H204" i="3"/>
  <c r="I204" i="3" s="1"/>
  <c r="H205" i="3"/>
  <c r="I205" i="3" s="1"/>
  <c r="H206" i="3"/>
  <c r="I206" i="3" s="1"/>
  <c r="H207" i="3"/>
  <c r="I207" i="3" s="1"/>
  <c r="H208" i="3"/>
  <c r="I208" i="3" s="1"/>
  <c r="H209" i="3"/>
  <c r="I209" i="3" s="1"/>
  <c r="H210" i="3"/>
  <c r="I210" i="3" s="1"/>
  <c r="H211" i="3"/>
  <c r="I211" i="3" s="1"/>
  <c r="H212" i="3"/>
  <c r="I212" i="3" s="1"/>
  <c r="H213" i="3"/>
  <c r="I213" i="3" s="1"/>
  <c r="H214" i="3"/>
  <c r="I214" i="3" s="1"/>
  <c r="H215" i="3"/>
  <c r="I215" i="3" s="1"/>
  <c r="H216" i="3"/>
  <c r="I216" i="3" s="1"/>
  <c r="H217" i="3"/>
  <c r="I217" i="3" s="1"/>
  <c r="H218" i="3"/>
  <c r="I218" i="3" s="1"/>
  <c r="H219" i="3"/>
  <c r="I219" i="3" s="1"/>
  <c r="H220" i="3"/>
  <c r="I220" i="3" s="1"/>
  <c r="H221" i="3"/>
  <c r="I221" i="3" s="1"/>
  <c r="H222" i="3"/>
  <c r="I222" i="3" s="1"/>
  <c r="H223" i="3"/>
  <c r="I223" i="3" s="1"/>
  <c r="H224" i="3"/>
  <c r="I224" i="3" s="1"/>
  <c r="H225" i="3"/>
  <c r="I225" i="3" s="1"/>
  <c r="H226" i="3"/>
  <c r="I226" i="3" s="1"/>
  <c r="H227" i="3"/>
  <c r="I227" i="3" s="1"/>
  <c r="H228" i="3"/>
  <c r="I228" i="3" s="1"/>
  <c r="H229" i="3"/>
  <c r="I229" i="3" s="1"/>
  <c r="H230" i="3"/>
  <c r="I230" i="3" s="1"/>
  <c r="H231" i="3"/>
  <c r="I231" i="3" s="1"/>
  <c r="H232" i="3"/>
  <c r="I232" i="3" s="1"/>
  <c r="H233" i="3"/>
  <c r="I233" i="3" s="1"/>
  <c r="H234" i="3"/>
  <c r="I234" i="3" s="1"/>
  <c r="H235" i="3"/>
  <c r="I235" i="3" s="1"/>
  <c r="H236" i="3"/>
  <c r="I236" i="3" s="1"/>
  <c r="H237" i="3"/>
  <c r="I237" i="3" s="1"/>
  <c r="H238" i="3"/>
  <c r="I238" i="3" s="1"/>
  <c r="H239" i="3"/>
  <c r="I239" i="3" s="1"/>
  <c r="H240" i="3"/>
  <c r="I240" i="3" s="1"/>
  <c r="H241" i="3"/>
  <c r="I241" i="3" s="1"/>
  <c r="H242" i="3"/>
  <c r="I242" i="3" s="1"/>
  <c r="H243" i="3"/>
  <c r="I243" i="3" s="1"/>
  <c r="H244" i="3"/>
  <c r="I244" i="3" s="1"/>
  <c r="H245" i="3"/>
  <c r="I245" i="3" s="1"/>
  <c r="H246" i="3"/>
  <c r="I246" i="3" s="1"/>
  <c r="H247" i="3"/>
  <c r="I247" i="3" s="1"/>
  <c r="H248" i="3"/>
  <c r="I248" i="3" s="1"/>
  <c r="H249" i="3"/>
  <c r="I249" i="3" s="1"/>
  <c r="H250" i="3"/>
  <c r="I250" i="3" s="1"/>
  <c r="H251" i="3"/>
  <c r="I251" i="3" s="1"/>
  <c r="H252" i="3"/>
  <c r="I252" i="3" s="1"/>
  <c r="H253" i="3"/>
  <c r="I253" i="3" s="1"/>
  <c r="H254" i="3"/>
  <c r="I254" i="3" s="1"/>
  <c r="H255" i="3"/>
  <c r="I255" i="3" s="1"/>
  <c r="H256" i="3"/>
  <c r="I256" i="3" s="1"/>
  <c r="H257" i="3"/>
  <c r="I257" i="3" s="1"/>
  <c r="H258" i="3"/>
  <c r="I258" i="3" s="1"/>
  <c r="H259" i="3"/>
  <c r="I259" i="3" s="1"/>
  <c r="H260" i="3"/>
  <c r="I260" i="3" s="1"/>
  <c r="H261" i="3"/>
  <c r="I261" i="3" s="1"/>
  <c r="H262" i="3"/>
  <c r="I262" i="3" s="1"/>
  <c r="H263" i="3"/>
  <c r="I263" i="3" s="1"/>
  <c r="H264" i="3"/>
  <c r="I264" i="3" s="1"/>
  <c r="H265" i="3"/>
  <c r="I265" i="3" s="1"/>
  <c r="H266" i="3"/>
  <c r="I266" i="3" s="1"/>
  <c r="H267" i="3"/>
  <c r="I267" i="3" s="1"/>
  <c r="H268" i="3"/>
  <c r="I268" i="3" s="1"/>
  <c r="H269" i="3"/>
  <c r="I269" i="3" s="1"/>
  <c r="H270" i="3"/>
  <c r="I270" i="3" s="1"/>
  <c r="H271" i="3"/>
  <c r="I271" i="3" s="1"/>
  <c r="H272" i="3"/>
  <c r="I272" i="3" s="1"/>
  <c r="H273" i="3"/>
  <c r="I273" i="3" s="1"/>
  <c r="H274" i="3"/>
  <c r="I274" i="3" s="1"/>
  <c r="H275" i="3"/>
  <c r="I275" i="3" s="1"/>
  <c r="H276" i="3"/>
  <c r="I276" i="3" s="1"/>
  <c r="H277" i="3"/>
  <c r="I277" i="3" s="1"/>
  <c r="H278" i="3"/>
  <c r="I278" i="3" s="1"/>
  <c r="H279" i="3"/>
  <c r="I279" i="3" s="1"/>
  <c r="H280" i="3"/>
  <c r="I280" i="3" s="1"/>
  <c r="H281" i="3"/>
  <c r="I281" i="3" s="1"/>
  <c r="H282" i="3"/>
  <c r="I282" i="3" s="1"/>
  <c r="H283" i="3"/>
  <c r="I283" i="3" s="1"/>
  <c r="H284" i="3"/>
  <c r="I284" i="3" s="1"/>
  <c r="H285" i="3"/>
  <c r="I285" i="3" s="1"/>
  <c r="H286" i="3"/>
  <c r="I286" i="3" s="1"/>
  <c r="H287" i="3"/>
  <c r="I287" i="3" s="1"/>
  <c r="H288" i="3"/>
  <c r="I288" i="3" s="1"/>
  <c r="H289" i="3"/>
  <c r="I289" i="3" s="1"/>
  <c r="H290" i="3"/>
  <c r="I290" i="3" s="1"/>
  <c r="H291" i="3"/>
  <c r="I291" i="3" s="1"/>
  <c r="H292" i="3"/>
  <c r="I292" i="3" s="1"/>
  <c r="U4" i="5"/>
  <c r="U5" i="5"/>
  <c r="U6" i="5"/>
  <c r="U7" i="5"/>
  <c r="V7" i="5"/>
  <c r="U8" i="5"/>
  <c r="U9" i="5"/>
  <c r="Q9" i="5"/>
  <c r="Q6" i="5"/>
  <c r="Q4" i="5"/>
  <c r="Q5" i="5"/>
  <c r="Q8" i="5"/>
  <c r="B5" i="5"/>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2" i="1"/>
  <c r="R9" i="5" l="1"/>
  <c r="S9" i="5" s="1"/>
  <c r="V9" i="5" s="1"/>
  <c r="R6" i="5"/>
  <c r="S6" i="5" s="1"/>
  <c r="V6" i="5" s="1"/>
  <c r="R8" i="5"/>
  <c r="S8" i="5" s="1"/>
  <c r="V8" i="5" s="1"/>
  <c r="R4" i="5"/>
  <c r="S4" i="5" s="1"/>
  <c r="V4" i="5" s="1"/>
  <c r="R5" i="5"/>
  <c r="S5" i="5" s="1"/>
  <c r="V5" i="5" s="1"/>
  <c r="D5" i="5"/>
  <c r="F5" i="5" s="1"/>
  <c r="H5" i="5" s="1"/>
  <c r="L46" i="3"/>
  <c r="L94" i="3"/>
  <c r="L82" i="3"/>
  <c r="L70" i="3"/>
  <c r="L58" i="3"/>
  <c r="L106" i="3"/>
  <c r="J25" i="3"/>
  <c r="J13" i="3"/>
  <c r="L13" i="3" s="1"/>
  <c r="J52" i="3"/>
  <c r="L52" i="3" s="1"/>
  <c r="J76" i="3"/>
  <c r="L76" i="3" s="1"/>
  <c r="J110" i="3"/>
  <c r="L110" i="3" s="1"/>
  <c r="J88" i="3"/>
  <c r="L88" i="3" s="1"/>
  <c r="J40" i="3"/>
  <c r="L40" i="3" s="1"/>
  <c r="J100" i="3"/>
  <c r="L100" i="3" s="1"/>
  <c r="J64" i="3"/>
  <c r="L64" i="3" s="1"/>
  <c r="J112" i="3"/>
  <c r="L112" i="3" s="1"/>
  <c r="J137" i="3"/>
  <c r="J143" i="3"/>
  <c r="J245" i="3"/>
  <c r="J251" i="3"/>
  <c r="J275" i="3"/>
  <c r="L275" i="3" s="1"/>
  <c r="J281" i="3"/>
  <c r="L281" i="3" s="1"/>
  <c r="J287" i="3"/>
  <c r="J42" i="3"/>
  <c r="L42" i="3" s="1"/>
  <c r="J90" i="3"/>
  <c r="L90" i="3" s="1"/>
  <c r="J228" i="3"/>
  <c r="J234" i="3"/>
  <c r="J97" i="3"/>
  <c r="L97" i="3" s="1"/>
  <c r="J241" i="3"/>
  <c r="L241" i="3" s="1"/>
  <c r="J247" i="3"/>
  <c r="J253" i="3"/>
  <c r="J134" i="3"/>
  <c r="J57" i="3"/>
  <c r="J123" i="3"/>
  <c r="L123" i="3" s="1"/>
  <c r="J262" i="3"/>
  <c r="J268" i="3"/>
  <c r="J81" i="3"/>
  <c r="J121" i="3"/>
  <c r="L121" i="3" s="1"/>
  <c r="J240" i="3"/>
  <c r="J264" i="3"/>
  <c r="J111" i="3"/>
  <c r="J145" i="3"/>
  <c r="J151" i="3"/>
  <c r="J217" i="3"/>
  <c r="J270" i="3"/>
  <c r="L270" i="3" s="1"/>
  <c r="J7" i="3"/>
  <c r="L7" i="3" s="1"/>
  <c r="J19" i="3"/>
  <c r="L19" i="3" s="1"/>
  <c r="J31" i="3"/>
  <c r="J37" i="3"/>
  <c r="J54" i="3"/>
  <c r="J117" i="3"/>
  <c r="L117" i="3" s="1"/>
  <c r="J182" i="3"/>
  <c r="J188" i="3"/>
  <c r="J194" i="3"/>
  <c r="J200" i="3"/>
  <c r="J206" i="3"/>
  <c r="J230" i="3"/>
  <c r="J236" i="3"/>
  <c r="L236" i="3" s="1"/>
  <c r="J49" i="3"/>
  <c r="L49" i="3" s="1"/>
  <c r="J153" i="3"/>
  <c r="J165" i="3"/>
  <c r="L165" i="3" s="1"/>
  <c r="J171" i="3"/>
  <c r="L171" i="3" s="1"/>
  <c r="J213" i="3"/>
  <c r="L213" i="3" s="1"/>
  <c r="J219" i="3"/>
  <c r="J87" i="3"/>
  <c r="J258" i="3"/>
  <c r="J9" i="3"/>
  <c r="L9" i="3" s="1"/>
  <c r="J15" i="3"/>
  <c r="L15" i="3" s="1"/>
  <c r="J21" i="3"/>
  <c r="L21" i="3" s="1"/>
  <c r="J27" i="3"/>
  <c r="L27" i="3" s="1"/>
  <c r="J33" i="3"/>
  <c r="L33" i="3" s="1"/>
  <c r="J39" i="3"/>
  <c r="J44" i="3"/>
  <c r="L44" i="3" s="1"/>
  <c r="J73" i="3"/>
  <c r="J102" i="3"/>
  <c r="J178" i="3"/>
  <c r="L178" i="3" s="1"/>
  <c r="J184" i="3"/>
  <c r="J190" i="3"/>
  <c r="L190" i="3" s="1"/>
  <c r="J196" i="3"/>
  <c r="J202" i="3"/>
  <c r="J208" i="3"/>
  <c r="J273" i="3"/>
  <c r="J279" i="3"/>
  <c r="J285" i="3"/>
  <c r="J291" i="3"/>
  <c r="L291" i="3" s="1"/>
  <c r="J68" i="3"/>
  <c r="L68" i="3" s="1"/>
  <c r="J74" i="3"/>
  <c r="L74" i="3" s="1"/>
  <c r="J155" i="3"/>
  <c r="L155" i="3" s="1"/>
  <c r="J161" i="3"/>
  <c r="L161" i="3" s="1"/>
  <c r="J173" i="3"/>
  <c r="L173" i="3" s="1"/>
  <c r="J22" i="3"/>
  <c r="J108" i="3"/>
  <c r="J220" i="3"/>
  <c r="L220" i="3" s="1"/>
  <c r="J231" i="3"/>
  <c r="J248" i="3"/>
  <c r="J156" i="3"/>
  <c r="J214" i="3"/>
  <c r="J265" i="3"/>
  <c r="L265" i="3" s="1"/>
  <c r="J45" i="3"/>
  <c r="J66" i="3"/>
  <c r="L66" i="3" s="1"/>
  <c r="J98" i="3"/>
  <c r="L98" i="3" s="1"/>
  <c r="J130" i="3"/>
  <c r="L130" i="3" s="1"/>
  <c r="J168" i="3"/>
  <c r="J174" i="3"/>
  <c r="J197" i="3"/>
  <c r="J203" i="3"/>
  <c r="J237" i="3"/>
  <c r="J254" i="3"/>
  <c r="J271" i="3"/>
  <c r="J259" i="3"/>
  <c r="J5" i="3"/>
  <c r="L5" i="3" s="1"/>
  <c r="J51" i="3"/>
  <c r="L51" i="3" s="1"/>
  <c r="J56" i="3"/>
  <c r="L56" i="3" s="1"/>
  <c r="J72" i="3"/>
  <c r="L72" i="3" s="1"/>
  <c r="J104" i="3"/>
  <c r="L104" i="3" s="1"/>
  <c r="J141" i="3"/>
  <c r="J152" i="3"/>
  <c r="L152" i="3" s="1"/>
  <c r="J157" i="3"/>
  <c r="J180" i="3"/>
  <c r="J186" i="3"/>
  <c r="L186" i="3" s="1"/>
  <c r="J192" i="3"/>
  <c r="L192" i="3" s="1"/>
  <c r="J209" i="3"/>
  <c r="L209" i="3" s="1"/>
  <c r="J215" i="3"/>
  <c r="J226" i="3"/>
  <c r="J232" i="3"/>
  <c r="J243" i="3"/>
  <c r="J249" i="3"/>
  <c r="L249" i="3" s="1"/>
  <c r="J260" i="3"/>
  <c r="J266" i="3"/>
  <c r="J277" i="3"/>
  <c r="L277" i="3" s="1"/>
  <c r="J283" i="3"/>
  <c r="L283" i="3" s="1"/>
  <c r="J62" i="3"/>
  <c r="L62" i="3" s="1"/>
  <c r="J78" i="3"/>
  <c r="L78" i="3" s="1"/>
  <c r="J93" i="3"/>
  <c r="J99" i="3"/>
  <c r="L99" i="3" s="1"/>
  <c r="J114" i="3"/>
  <c r="L114" i="3" s="1"/>
  <c r="J169" i="3"/>
  <c r="J198" i="3"/>
  <c r="L198" i="3" s="1"/>
  <c r="J204" i="3"/>
  <c r="J221" i="3"/>
  <c r="L221" i="3" s="1"/>
  <c r="J238" i="3"/>
  <c r="J255" i="3"/>
  <c r="J272" i="3"/>
  <c r="L272" i="3" s="1"/>
  <c r="J140" i="3"/>
  <c r="J276" i="3"/>
  <c r="J6" i="3"/>
  <c r="J181" i="3"/>
  <c r="L181" i="3" s="1"/>
  <c r="J187" i="3"/>
  <c r="L187" i="3" s="1"/>
  <c r="J210" i="3"/>
  <c r="J216" i="3"/>
  <c r="L216" i="3" s="1"/>
  <c r="J227" i="3"/>
  <c r="L227" i="3" s="1"/>
  <c r="J233" i="3"/>
  <c r="J244" i="3"/>
  <c r="J250" i="3"/>
  <c r="J261" i="3"/>
  <c r="J267" i="3"/>
  <c r="L267" i="3" s="1"/>
  <c r="J278" i="3"/>
  <c r="L278" i="3" s="1"/>
  <c r="J284" i="3"/>
  <c r="J288" i="3"/>
  <c r="L288" i="3" s="1"/>
  <c r="J63" i="3"/>
  <c r="L63" i="3" s="1"/>
  <c r="J105" i="3"/>
  <c r="L105" i="3" s="1"/>
  <c r="J120" i="3"/>
  <c r="L120" i="3" s="1"/>
  <c r="J164" i="3"/>
  <c r="J170" i="3"/>
  <c r="L170" i="3" s="1"/>
  <c r="J176" i="3"/>
  <c r="L176" i="3" s="1"/>
  <c r="J193" i="3"/>
  <c r="J205" i="3"/>
  <c r="J222" i="3"/>
  <c r="L222" i="3" s="1"/>
  <c r="J239" i="3"/>
  <c r="J256" i="3"/>
  <c r="L256" i="3" s="1"/>
  <c r="J290" i="3"/>
  <c r="J16" i="3"/>
  <c r="L16" i="3" s="1"/>
  <c r="J34" i="3"/>
  <c r="L34" i="3" s="1"/>
  <c r="J50" i="3"/>
  <c r="J92" i="3"/>
  <c r="L92" i="3" s="1"/>
  <c r="J225" i="3"/>
  <c r="J282" i="3"/>
  <c r="J185" i="3"/>
  <c r="J10" i="3"/>
  <c r="L10" i="3" s="1"/>
  <c r="L8" i="3"/>
  <c r="J14" i="3"/>
  <c r="J20" i="3"/>
  <c r="L20" i="3" s="1"/>
  <c r="J26" i="3"/>
  <c r="L26" i="3" s="1"/>
  <c r="J32" i="3"/>
  <c r="L32" i="3" s="1"/>
  <c r="J38" i="3"/>
  <c r="J69" i="3"/>
  <c r="J75" i="3"/>
  <c r="L75" i="3" s="1"/>
  <c r="J80" i="3"/>
  <c r="L80" i="3" s="1"/>
  <c r="J116" i="3"/>
  <c r="J133" i="3"/>
  <c r="L133" i="3" s="1"/>
  <c r="J138" i="3"/>
  <c r="J154" i="3"/>
  <c r="J160" i="3"/>
  <c r="L160" i="3" s="1"/>
  <c r="J177" i="3"/>
  <c r="J189" i="3"/>
  <c r="J212" i="3"/>
  <c r="J218" i="3"/>
  <c r="L218" i="3" s="1"/>
  <c r="J229" i="3"/>
  <c r="L229" i="3" s="1"/>
  <c r="J235" i="3"/>
  <c r="J246" i="3"/>
  <c r="J252" i="3"/>
  <c r="L252" i="3" s="1"/>
  <c r="J257" i="3"/>
  <c r="L257" i="3" s="1"/>
  <c r="J263" i="3"/>
  <c r="L263" i="3" s="1"/>
  <c r="J274" i="3"/>
  <c r="J280" i="3"/>
  <c r="J286" i="3"/>
  <c r="L286" i="3" s="1"/>
  <c r="J28" i="3"/>
  <c r="L28" i="3" s="1"/>
  <c r="J242" i="3"/>
  <c r="J86" i="3"/>
  <c r="J96" i="3"/>
  <c r="L96" i="3" s="1"/>
  <c r="J122" i="3"/>
  <c r="L122" i="3" s="1"/>
  <c r="J144" i="3"/>
  <c r="L144" i="3" s="1"/>
  <c r="J166" i="3"/>
  <c r="J172" i="3"/>
  <c r="J201" i="3"/>
  <c r="J224" i="3"/>
  <c r="L224" i="3" s="1"/>
  <c r="J269" i="3"/>
  <c r="L269" i="3" s="1"/>
  <c r="J292" i="3"/>
  <c r="J29" i="3"/>
  <c r="L29" i="3" s="1"/>
  <c r="J18" i="3"/>
  <c r="L18" i="3" s="1"/>
  <c r="J30" i="3"/>
  <c r="L30" i="3" s="1"/>
  <c r="J23" i="3"/>
  <c r="L23" i="3" s="1"/>
  <c r="J12" i="3"/>
  <c r="L12" i="3" s="1"/>
  <c r="J24" i="3"/>
  <c r="L24" i="3" s="1"/>
  <c r="J36" i="3"/>
  <c r="L36" i="3" s="1"/>
  <c r="J48" i="3"/>
  <c r="L48" i="3" s="1"/>
  <c r="J61" i="3"/>
  <c r="L61" i="3" s="1"/>
  <c r="J17" i="3"/>
  <c r="L17" i="3" s="1"/>
  <c r="J35" i="3"/>
  <c r="L35" i="3" s="1"/>
  <c r="J11" i="3"/>
  <c r="L11" i="3" s="1"/>
  <c r="J60" i="3"/>
  <c r="L60" i="3" s="1"/>
  <c r="J84" i="3"/>
  <c r="L84" i="3" s="1"/>
  <c r="K118" i="3"/>
  <c r="J125" i="3"/>
  <c r="L125" i="3" s="1"/>
  <c r="J163" i="3"/>
  <c r="L163" i="3" s="1"/>
  <c r="J79" i="3"/>
  <c r="L79" i="3" s="1"/>
  <c r="J103" i="3"/>
  <c r="L103" i="3" s="1"/>
  <c r="J126" i="3"/>
  <c r="L126" i="3" s="1"/>
  <c r="J129" i="3"/>
  <c r="L129" i="3" s="1"/>
  <c r="J136" i="3"/>
  <c r="L136" i="3" s="1"/>
  <c r="J139" i="3"/>
  <c r="L139" i="3" s="1"/>
  <c r="J146" i="3"/>
  <c r="L146" i="3" s="1"/>
  <c r="J150" i="3"/>
  <c r="L150" i="3" s="1"/>
  <c r="J159" i="3"/>
  <c r="L159" i="3" s="1"/>
  <c r="J175" i="3"/>
  <c r="L175" i="3" s="1"/>
  <c r="J191" i="3"/>
  <c r="L191" i="3" s="1"/>
  <c r="J207" i="3"/>
  <c r="L207" i="3" s="1"/>
  <c r="J223" i="3"/>
  <c r="L223" i="3" s="1"/>
  <c r="J85" i="3"/>
  <c r="L85" i="3" s="1"/>
  <c r="J55" i="3"/>
  <c r="L55" i="3" s="1"/>
  <c r="J53" i="3"/>
  <c r="L53" i="3" s="1"/>
  <c r="J77" i="3"/>
  <c r="L77" i="3" s="1"/>
  <c r="J101" i="3"/>
  <c r="L101" i="3" s="1"/>
  <c r="J47" i="3"/>
  <c r="L47" i="3" s="1"/>
  <c r="J71" i="3"/>
  <c r="L71" i="3" s="1"/>
  <c r="J95" i="3"/>
  <c r="L95" i="3" s="1"/>
  <c r="J119" i="3"/>
  <c r="L119" i="3" s="1"/>
  <c r="J124" i="3"/>
  <c r="L124" i="3" s="1"/>
  <c r="J127" i="3"/>
  <c r="L127" i="3" s="1"/>
  <c r="J147" i="3"/>
  <c r="L147" i="3" s="1"/>
  <c r="J289" i="3"/>
  <c r="L289" i="3" s="1"/>
  <c r="J91" i="3"/>
  <c r="L91" i="3" s="1"/>
  <c r="J115" i="3"/>
  <c r="L115" i="3" s="1"/>
  <c r="J148" i="3"/>
  <c r="L148" i="3" s="1"/>
  <c r="J167" i="3"/>
  <c r="L167" i="3" s="1"/>
  <c r="J183" i="3"/>
  <c r="L183" i="3" s="1"/>
  <c r="J199" i="3"/>
  <c r="L199" i="3" s="1"/>
  <c r="J43" i="3"/>
  <c r="L43" i="3" s="1"/>
  <c r="J67" i="3"/>
  <c r="L67" i="3" s="1"/>
  <c r="J41" i="3"/>
  <c r="L41" i="3" s="1"/>
  <c r="J65" i="3"/>
  <c r="L65" i="3" s="1"/>
  <c r="J89" i="3"/>
  <c r="L89" i="3" s="1"/>
  <c r="J113" i="3"/>
  <c r="L113" i="3" s="1"/>
  <c r="J128" i="3"/>
  <c r="L128" i="3" s="1"/>
  <c r="J131" i="3"/>
  <c r="L131" i="3" s="1"/>
  <c r="J162" i="3"/>
  <c r="L162" i="3" s="1"/>
  <c r="J179" i="3"/>
  <c r="L179" i="3" s="1"/>
  <c r="J195" i="3"/>
  <c r="L195" i="3" s="1"/>
  <c r="J211" i="3"/>
  <c r="L211" i="3" s="1"/>
  <c r="J59" i="3"/>
  <c r="L59" i="3" s="1"/>
  <c r="J83" i="3"/>
  <c r="L83" i="3" s="1"/>
  <c r="J107" i="3"/>
  <c r="L107" i="3" s="1"/>
  <c r="J132" i="3"/>
  <c r="L132" i="3" s="1"/>
  <c r="J135" i="3"/>
  <c r="L135" i="3" s="1"/>
  <c r="J142" i="3"/>
  <c r="L142" i="3" s="1"/>
  <c r="J158" i="3"/>
  <c r="L158" i="3" s="1"/>
  <c r="J109" i="3"/>
  <c r="L109" i="3" s="1"/>
  <c r="J149" i="3"/>
  <c r="L149" i="3" s="1"/>
  <c r="K52" i="3" l="1"/>
  <c r="K275" i="3"/>
  <c r="K190" i="3"/>
  <c r="K110" i="3"/>
  <c r="K9" i="3"/>
  <c r="K123" i="3"/>
  <c r="K88" i="3"/>
  <c r="K40" i="3"/>
  <c r="K270" i="3"/>
  <c r="K76" i="3"/>
  <c r="K281" i="3"/>
  <c r="K290" i="3"/>
  <c r="L290" i="3"/>
  <c r="K54" i="3"/>
  <c r="L54" i="3"/>
  <c r="K280" i="3"/>
  <c r="L280" i="3"/>
  <c r="K239" i="3"/>
  <c r="L239" i="3"/>
  <c r="K276" i="3"/>
  <c r="L276" i="3"/>
  <c r="K214" i="3"/>
  <c r="L214" i="3"/>
  <c r="K234" i="3"/>
  <c r="L234" i="3"/>
  <c r="K274" i="3"/>
  <c r="L274" i="3"/>
  <c r="K154" i="3"/>
  <c r="L154" i="3"/>
  <c r="K140" i="3"/>
  <c r="L140" i="3"/>
  <c r="K254" i="3"/>
  <c r="L254" i="3"/>
  <c r="K156" i="3"/>
  <c r="L156" i="3"/>
  <c r="K285" i="3"/>
  <c r="L285" i="3"/>
  <c r="K39" i="3"/>
  <c r="L39" i="3"/>
  <c r="K153" i="3"/>
  <c r="L153" i="3"/>
  <c r="K31" i="3"/>
  <c r="L31" i="3"/>
  <c r="K228" i="3"/>
  <c r="L228" i="3"/>
  <c r="K292" i="3"/>
  <c r="L292" i="3"/>
  <c r="K6" i="3"/>
  <c r="L6" i="3"/>
  <c r="K14" i="3"/>
  <c r="L14" i="3"/>
  <c r="K240" i="3"/>
  <c r="L240" i="3"/>
  <c r="K201" i="3"/>
  <c r="L201" i="3"/>
  <c r="K138" i="3"/>
  <c r="L138" i="3"/>
  <c r="K205" i="3"/>
  <c r="L205" i="3"/>
  <c r="K261" i="3"/>
  <c r="L261" i="3"/>
  <c r="K180" i="3"/>
  <c r="L180" i="3"/>
  <c r="K237" i="3"/>
  <c r="L237" i="3"/>
  <c r="K248" i="3"/>
  <c r="L248" i="3"/>
  <c r="K279" i="3"/>
  <c r="L279" i="3"/>
  <c r="K25" i="3"/>
  <c r="L25" i="3"/>
  <c r="K81" i="3"/>
  <c r="L81" i="3"/>
  <c r="K157" i="3"/>
  <c r="L157" i="3"/>
  <c r="K203" i="3"/>
  <c r="L203" i="3"/>
  <c r="K231" i="3"/>
  <c r="L231" i="3"/>
  <c r="K273" i="3"/>
  <c r="L273" i="3"/>
  <c r="K268" i="3"/>
  <c r="L268" i="3"/>
  <c r="K271" i="3"/>
  <c r="L271" i="3"/>
  <c r="K37" i="3"/>
  <c r="L37" i="3"/>
  <c r="K172" i="3"/>
  <c r="L172" i="3"/>
  <c r="K244" i="3"/>
  <c r="L244" i="3"/>
  <c r="K238" i="3"/>
  <c r="L238" i="3"/>
  <c r="K266" i="3"/>
  <c r="L266" i="3"/>
  <c r="K197" i="3"/>
  <c r="L197" i="3"/>
  <c r="K208" i="3"/>
  <c r="L208" i="3"/>
  <c r="K230" i="3"/>
  <c r="L230" i="3"/>
  <c r="K262" i="3"/>
  <c r="L262" i="3"/>
  <c r="K287" i="3"/>
  <c r="L287" i="3"/>
  <c r="K284" i="3"/>
  <c r="L284" i="3"/>
  <c r="K93" i="3"/>
  <c r="L93" i="3"/>
  <c r="K259" i="3"/>
  <c r="L259" i="3"/>
  <c r="K73" i="3"/>
  <c r="L73" i="3"/>
  <c r="K260" i="3"/>
  <c r="L260" i="3"/>
  <c r="K141" i="3"/>
  <c r="L141" i="3"/>
  <c r="K174" i="3"/>
  <c r="L174" i="3"/>
  <c r="K108" i="3"/>
  <c r="L108" i="3"/>
  <c r="K202" i="3"/>
  <c r="L202" i="3"/>
  <c r="K206" i="3"/>
  <c r="L206" i="3"/>
  <c r="K177" i="3"/>
  <c r="L177" i="3"/>
  <c r="K264" i="3"/>
  <c r="L264" i="3"/>
  <c r="K193" i="3"/>
  <c r="L193" i="3"/>
  <c r="K250" i="3"/>
  <c r="L250" i="3"/>
  <c r="K166" i="3"/>
  <c r="L166" i="3"/>
  <c r="K116" i="3"/>
  <c r="L116" i="3"/>
  <c r="K235" i="3"/>
  <c r="L235" i="3"/>
  <c r="K164" i="3"/>
  <c r="L164" i="3"/>
  <c r="K204" i="3"/>
  <c r="L204" i="3"/>
  <c r="K168" i="3"/>
  <c r="L168" i="3"/>
  <c r="K22" i="3"/>
  <c r="L22" i="3"/>
  <c r="K196" i="3"/>
  <c r="L196" i="3"/>
  <c r="K200" i="3"/>
  <c r="L200" i="3"/>
  <c r="K57" i="3"/>
  <c r="L57" i="3"/>
  <c r="K185" i="3"/>
  <c r="L185" i="3"/>
  <c r="K255" i="3"/>
  <c r="L255" i="3"/>
  <c r="K282" i="3"/>
  <c r="L282" i="3"/>
  <c r="K246" i="3"/>
  <c r="L246" i="3"/>
  <c r="K225" i="3"/>
  <c r="L225" i="3"/>
  <c r="K233" i="3"/>
  <c r="L233" i="3"/>
  <c r="K100" i="3"/>
  <c r="K69" i="3"/>
  <c r="L69" i="3"/>
  <c r="K50" i="3"/>
  <c r="L50" i="3"/>
  <c r="K243" i="3"/>
  <c r="L243" i="3"/>
  <c r="K258" i="3"/>
  <c r="L258" i="3"/>
  <c r="K194" i="3"/>
  <c r="L194" i="3"/>
  <c r="K217" i="3"/>
  <c r="L217" i="3"/>
  <c r="K134" i="3"/>
  <c r="L134" i="3"/>
  <c r="K251" i="3"/>
  <c r="L251" i="3"/>
  <c r="K86" i="3"/>
  <c r="L86" i="3"/>
  <c r="K38" i="3"/>
  <c r="L38" i="3"/>
  <c r="K210" i="3"/>
  <c r="L210" i="3"/>
  <c r="K169" i="3"/>
  <c r="L169" i="3"/>
  <c r="K232" i="3"/>
  <c r="L232" i="3"/>
  <c r="K184" i="3"/>
  <c r="L184" i="3"/>
  <c r="K87" i="3"/>
  <c r="L87" i="3"/>
  <c r="K188" i="3"/>
  <c r="L188" i="3"/>
  <c r="K151" i="3"/>
  <c r="L151" i="3"/>
  <c r="K253" i="3"/>
  <c r="L253" i="3"/>
  <c r="K245" i="3"/>
  <c r="L245" i="3"/>
  <c r="K189" i="3"/>
  <c r="L189" i="3"/>
  <c r="K112" i="3"/>
  <c r="K242" i="3"/>
  <c r="L242" i="3"/>
  <c r="K212" i="3"/>
  <c r="L212" i="3"/>
  <c r="K226" i="3"/>
  <c r="L226" i="3"/>
  <c r="K219" i="3"/>
  <c r="L219" i="3"/>
  <c r="K182" i="3"/>
  <c r="L182" i="3"/>
  <c r="K145" i="3"/>
  <c r="L145" i="3"/>
  <c r="K247" i="3"/>
  <c r="L247" i="3"/>
  <c r="K143" i="3"/>
  <c r="L143" i="3"/>
  <c r="K215" i="3"/>
  <c r="L215" i="3"/>
  <c r="K45" i="3"/>
  <c r="L45" i="3"/>
  <c r="K102" i="3"/>
  <c r="L102" i="3"/>
  <c r="K111" i="3"/>
  <c r="L111" i="3"/>
  <c r="K137" i="3"/>
  <c r="L137" i="3"/>
  <c r="K241" i="3"/>
  <c r="K64" i="3"/>
  <c r="K74" i="3"/>
  <c r="K213" i="3"/>
  <c r="K155" i="3"/>
  <c r="K209" i="3"/>
  <c r="K171" i="3"/>
  <c r="K265" i="3"/>
  <c r="K68" i="3"/>
  <c r="K227" i="3"/>
  <c r="K42" i="3"/>
  <c r="K178" i="3"/>
  <c r="K278" i="3"/>
  <c r="K19" i="3"/>
  <c r="K98" i="3"/>
  <c r="K161" i="3"/>
  <c r="K27" i="3"/>
  <c r="K229" i="3"/>
  <c r="K222" i="3"/>
  <c r="K96" i="3"/>
  <c r="K263" i="3"/>
  <c r="K170" i="3"/>
  <c r="K78" i="3"/>
  <c r="K186" i="3"/>
  <c r="K283" i="3"/>
  <c r="K221" i="3"/>
  <c r="K267" i="3"/>
  <c r="K90" i="3"/>
  <c r="K62" i="3"/>
  <c r="K165" i="3"/>
  <c r="K257" i="3"/>
  <c r="K121" i="3"/>
  <c r="K291" i="3"/>
  <c r="K286" i="3"/>
  <c r="K277" i="3"/>
  <c r="K120" i="3"/>
  <c r="K49" i="3"/>
  <c r="K218" i="3"/>
  <c r="K33" i="3"/>
  <c r="K249" i="3"/>
  <c r="K97" i="3"/>
  <c r="K144" i="3"/>
  <c r="K44" i="3"/>
  <c r="K122" i="3"/>
  <c r="K10" i="3"/>
  <c r="K7" i="3"/>
  <c r="K99" i="3"/>
  <c r="K198" i="3"/>
  <c r="K173" i="3"/>
  <c r="K5" i="3"/>
  <c r="K66" i="3"/>
  <c r="K216" i="3"/>
  <c r="K21" i="3"/>
  <c r="K32" i="3"/>
  <c r="K117" i="3"/>
  <c r="K269" i="3"/>
  <c r="K72" i="3"/>
  <c r="K130" i="3"/>
  <c r="K13" i="3"/>
  <c r="K28" i="3"/>
  <c r="K181" i="3"/>
  <c r="K15" i="3"/>
  <c r="K236" i="3"/>
  <c r="K105" i="3"/>
  <c r="K160" i="3"/>
  <c r="K288" i="3"/>
  <c r="K114" i="3"/>
  <c r="K16" i="3"/>
  <c r="K256" i="3"/>
  <c r="K63" i="3"/>
  <c r="K51" i="3"/>
  <c r="K252" i="3"/>
  <c r="K133" i="3"/>
  <c r="K192" i="3"/>
  <c r="K80" i="3"/>
  <c r="K272" i="3"/>
  <c r="K224" i="3"/>
  <c r="K20" i="3"/>
  <c r="K176" i="3"/>
  <c r="K187" i="3"/>
  <c r="K34" i="3"/>
  <c r="K75" i="3"/>
  <c r="K152" i="3"/>
  <c r="K220" i="3"/>
  <c r="K26" i="3"/>
  <c r="K8" i="3"/>
  <c r="K56" i="3"/>
  <c r="K92" i="3"/>
  <c r="K104" i="3"/>
  <c r="K158" i="3"/>
  <c r="K95" i="3"/>
  <c r="K71" i="3"/>
  <c r="K53" i="3"/>
  <c r="K150" i="3"/>
  <c r="K24" i="3"/>
  <c r="K142" i="3"/>
  <c r="K47" i="3"/>
  <c r="K55" i="3"/>
  <c r="K146" i="3"/>
  <c r="K12" i="3"/>
  <c r="K131" i="3"/>
  <c r="K85" i="3"/>
  <c r="K139" i="3"/>
  <c r="K84" i="3"/>
  <c r="K60" i="3"/>
  <c r="K23" i="3"/>
  <c r="K30" i="3"/>
  <c r="K101" i="3"/>
  <c r="K159" i="3"/>
  <c r="K135" i="3"/>
  <c r="K148" i="3"/>
  <c r="K223" i="3"/>
  <c r="K136" i="3"/>
  <c r="K11" i="3"/>
  <c r="K18" i="3"/>
  <c r="K128" i="3"/>
  <c r="K41" i="3"/>
  <c r="K129" i="3"/>
  <c r="K17" i="3"/>
  <c r="K119" i="3"/>
  <c r="K83" i="3"/>
  <c r="K207" i="3"/>
  <c r="K126" i="3"/>
  <c r="K162" i="3"/>
  <c r="K48" i="3"/>
  <c r="K35" i="3"/>
  <c r="K113" i="3"/>
  <c r="K115" i="3"/>
  <c r="K103" i="3"/>
  <c r="K36" i="3"/>
  <c r="K167" i="3"/>
  <c r="K65" i="3"/>
  <c r="K179" i="3"/>
  <c r="K59" i="3"/>
  <c r="K211" i="3"/>
  <c r="K91" i="3"/>
  <c r="K147" i="3"/>
  <c r="K191" i="3"/>
  <c r="K79" i="3"/>
  <c r="K183" i="3"/>
  <c r="K77" i="3"/>
  <c r="K89" i="3"/>
  <c r="K132" i="3"/>
  <c r="K107" i="3"/>
  <c r="K109" i="3"/>
  <c r="K289" i="3"/>
  <c r="K127" i="3"/>
  <c r="K163" i="3"/>
  <c r="K61" i="3"/>
  <c r="K29" i="3"/>
  <c r="K149" i="3"/>
  <c r="K67" i="3"/>
  <c r="K43" i="3"/>
  <c r="K195" i="3"/>
  <c r="K199" i="3"/>
  <c r="K124" i="3"/>
  <c r="K175" i="3"/>
  <c r="K125" i="3"/>
</calcChain>
</file>

<file path=xl/sharedStrings.xml><?xml version="1.0" encoding="utf-8"?>
<sst xmlns="http://schemas.openxmlformats.org/spreadsheetml/2006/main" count="9170" uniqueCount="1331">
  <si>
    <t>Transaction_ID</t>
  </si>
  <si>
    <t>Month_Num</t>
  </si>
  <si>
    <t>Month_Name</t>
  </si>
  <si>
    <t>Quarter</t>
  </si>
  <si>
    <t>Department</t>
  </si>
  <si>
    <t>Expense_Category</t>
  </si>
  <si>
    <t>Vendor</t>
  </si>
  <si>
    <t>Amount (INR)</t>
  </si>
  <si>
    <t>Approved_By</t>
  </si>
  <si>
    <t>Notes</t>
  </si>
  <si>
    <t>TXN-1083</t>
  </si>
  <si>
    <t>Feb</t>
  </si>
  <si>
    <t>Q1</t>
  </si>
  <si>
    <t>Marketing</t>
  </si>
  <si>
    <t>Payroll</t>
  </si>
  <si>
    <t>ADP Payroll Services</t>
  </si>
  <si>
    <t>Rahul Mehta</t>
  </si>
  <si>
    <t>TXN-1186</t>
  </si>
  <si>
    <t>Mar</t>
  </si>
  <si>
    <t>Operations</t>
  </si>
  <si>
    <t>Sunita Rao</t>
  </si>
  <si>
    <t>TXN-1323</t>
  </si>
  <si>
    <t>May</t>
  </si>
  <si>
    <t>Q2</t>
  </si>
  <si>
    <t>IT</t>
  </si>
  <si>
    <t>Hardware</t>
  </si>
  <si>
    <t>HP Enterprise</t>
  </si>
  <si>
    <t>Arjun Nair</t>
  </si>
  <si>
    <t>TXN-1765</t>
  </si>
  <si>
    <t>Nov</t>
  </si>
  <si>
    <t>Q4</t>
  </si>
  <si>
    <t>Maintenance</t>
  </si>
  <si>
    <t>Facility Services Co.</t>
  </si>
  <si>
    <t>TXN-1856</t>
  </si>
  <si>
    <t>Dec</t>
  </si>
  <si>
    <t>Finance</t>
  </si>
  <si>
    <t>Software Licenses</t>
  </si>
  <si>
    <t>Adobe Creative</t>
  </si>
  <si>
    <t>Vikram Joshi</t>
  </si>
  <si>
    <t>TXN-1615</t>
  </si>
  <si>
    <t>Oct</t>
  </si>
  <si>
    <t>Q3</t>
  </si>
  <si>
    <t>Paychex</t>
  </si>
  <si>
    <t>TXN-1182</t>
  </si>
  <si>
    <t>Cloud Services</t>
  </si>
  <si>
    <t>Azure Enterprise</t>
  </si>
  <si>
    <t>TXN-1245</t>
  </si>
  <si>
    <t>Apr</t>
  </si>
  <si>
    <t>Gusto HR</t>
  </si>
  <si>
    <t>TXN-1312</t>
  </si>
  <si>
    <t>Events</t>
  </si>
  <si>
    <t>Webinar Platform</t>
  </si>
  <si>
    <t>TXN-1260</t>
  </si>
  <si>
    <t>Logistics</t>
  </si>
  <si>
    <t>Delhivery</t>
  </si>
  <si>
    <t>TXN-1432</t>
  </si>
  <si>
    <t>Jul</t>
  </si>
  <si>
    <t>HR</t>
  </si>
  <si>
    <t>Priya Sharma</t>
  </si>
  <si>
    <t>TXN-1505</t>
  </si>
  <si>
    <t>Aug</t>
  </si>
  <si>
    <t>TXN-1456</t>
  </si>
  <si>
    <t>TXN-1675</t>
  </si>
  <si>
    <t>Travel</t>
  </si>
  <si>
    <t>Cleartrip Biz</t>
  </si>
  <si>
    <t>TXN-1034</t>
  </si>
  <si>
    <t>Jan</t>
  </si>
  <si>
    <t>AWS India</t>
  </si>
  <si>
    <t>TXN-1019</t>
  </si>
  <si>
    <t>SOTC Travel</t>
  </si>
  <si>
    <t>TXN-1646</t>
  </si>
  <si>
    <t>Sales</t>
  </si>
  <si>
    <t>Deepa Patel</t>
  </si>
  <si>
    <t>TXN-1641</t>
  </si>
  <si>
    <t>TXN-1638</t>
  </si>
  <si>
    <t>Training</t>
  </si>
  <si>
    <t>Coursera Business</t>
  </si>
  <si>
    <t>TXN-1401</t>
  </si>
  <si>
    <t>Jun</t>
  </si>
  <si>
    <t>BuildCare</t>
  </si>
  <si>
    <t>TXN-1043</t>
  </si>
  <si>
    <t>TechServ India</t>
  </si>
  <si>
    <t>TXN-1581</t>
  </si>
  <si>
    <t>Udemy for Teams</t>
  </si>
  <si>
    <t>TXN-1299</t>
  </si>
  <si>
    <t>Recruitment</t>
  </si>
  <si>
    <t>Naukri Corporate</t>
  </si>
  <si>
    <t>TXN-1788</t>
  </si>
  <si>
    <t>Commissions</t>
  </si>
  <si>
    <t>Channel Partner Payout</t>
  </si>
  <si>
    <t>TXN-1529</t>
  </si>
  <si>
    <t>Eventbrite Pro</t>
  </si>
  <si>
    <t>TXN-1823</t>
  </si>
  <si>
    <t>TXN-1143</t>
  </si>
  <si>
    <t>Entertainment</t>
  </si>
  <si>
    <t>Corporate Gifts</t>
  </si>
  <si>
    <t>TXN-1045</t>
  </si>
  <si>
    <t>MakeMyTrip Corporate</t>
  </si>
  <si>
    <t>TXN-1347</t>
  </si>
  <si>
    <t>TXN-1461</t>
  </si>
  <si>
    <t>Lenovo B2B</t>
  </si>
  <si>
    <t>TXN-1086</t>
  </si>
  <si>
    <t>Ad Spend</t>
  </si>
  <si>
    <t>Google Ads</t>
  </si>
  <si>
    <t>TXN-1409</t>
  </si>
  <si>
    <t>Audit Fees</t>
  </si>
  <si>
    <t>Deloitte India</t>
  </si>
  <si>
    <t>TXN-1368</t>
  </si>
  <si>
    <t>Budget overrun - approved by CFO</t>
  </si>
  <si>
    <t>TXN-1744</t>
  </si>
  <si>
    <t>TXN-1777</t>
  </si>
  <si>
    <t>Atlassian Suite</t>
  </si>
  <si>
    <t>TXN-1696</t>
  </si>
  <si>
    <t>TXN-1596</t>
  </si>
  <si>
    <t>TXN-1762</t>
  </si>
  <si>
    <t>TXN-1201</t>
  </si>
  <si>
    <t>TXN-1770</t>
  </si>
  <si>
    <t>TXN-1356</t>
  </si>
  <si>
    <t>TXN-1013</t>
  </si>
  <si>
    <t>TXN-1527</t>
  </si>
  <si>
    <t>TXN-1620</t>
  </si>
  <si>
    <t>Blue Dart</t>
  </si>
  <si>
    <t>TXN-1183</t>
  </si>
  <si>
    <t>Google Cloud</t>
  </si>
  <si>
    <t>TXN-1694</t>
  </si>
  <si>
    <t>TXN-1250</t>
  </si>
  <si>
    <t>Microsoft 365</t>
  </si>
  <si>
    <t>TXN-1734</t>
  </si>
  <si>
    <t>TXN-1440</t>
  </si>
  <si>
    <t>Indeed Hiring</t>
  </si>
  <si>
    <t>TXN-1494</t>
  </si>
  <si>
    <t>TXN-1265</t>
  </si>
  <si>
    <t>TXN-1558</t>
  </si>
  <si>
    <t>KPMG India</t>
  </si>
  <si>
    <t>TXN-1337</t>
  </si>
  <si>
    <t>TXN-1370</t>
  </si>
  <si>
    <t>TXN-1664</t>
  </si>
  <si>
    <t>TXN-1068</t>
  </si>
  <si>
    <t>Client Dining</t>
  </si>
  <si>
    <t>TXN-1379</t>
  </si>
  <si>
    <t>LinkedIn Ads</t>
  </si>
  <si>
    <t>TXN-1613</t>
  </si>
  <si>
    <t>TXN-1067</t>
  </si>
  <si>
    <t>TXN-1673</t>
  </si>
  <si>
    <t>Town Hall Venue</t>
  </si>
  <si>
    <t>TXN-1328</t>
  </si>
  <si>
    <t>TXN-1597</t>
  </si>
  <si>
    <t>TXN-1816</t>
  </si>
  <si>
    <t>TXN-1732</t>
  </si>
  <si>
    <t>TXN-1704</t>
  </si>
  <si>
    <t>PwC Advisory</t>
  </si>
  <si>
    <t>TXN-1270</t>
  </si>
  <si>
    <t>TXN-1779</t>
  </si>
  <si>
    <t>TXN-1382</t>
  </si>
  <si>
    <t>TXN-1073</t>
  </si>
  <si>
    <t>TXN-1160</t>
  </si>
  <si>
    <t>TXN-1290</t>
  </si>
  <si>
    <t>Event Hospitality</t>
  </si>
  <si>
    <t>TXN-1300</t>
  </si>
  <si>
    <t>LinkedIn Talent</t>
  </si>
  <si>
    <t>TXN-1804</t>
  </si>
  <si>
    <t>TXN-1352</t>
  </si>
  <si>
    <t>TXN-1875</t>
  </si>
  <si>
    <t>TXN-1188</t>
  </si>
  <si>
    <t>FedEx India</t>
  </si>
  <si>
    <t>TXN-1845</t>
  </si>
  <si>
    <t>TXN-1752</t>
  </si>
  <si>
    <t>TXN-1235</t>
  </si>
  <si>
    <t>TXN-1720</t>
  </si>
  <si>
    <t>TXN-1747</t>
  </si>
  <si>
    <t>TXN-1463</t>
  </si>
  <si>
    <t>TXN-1133</t>
  </si>
  <si>
    <t>TXN-1311</t>
  </si>
  <si>
    <t>TXN-1349</t>
  </si>
  <si>
    <t>TXN-1313</t>
  </si>
  <si>
    <t>TXN-1498</t>
  </si>
  <si>
    <t>Distributor Bonus</t>
  </si>
  <si>
    <t>TXN-1740</t>
  </si>
  <si>
    <t>TXN-1437</t>
  </si>
  <si>
    <t>LinkedIn Learning</t>
  </si>
  <si>
    <t>TXN-1189</t>
  </si>
  <si>
    <t>TXN-1108</t>
  </si>
  <si>
    <t>TXN-1781</t>
  </si>
  <si>
    <t>TXN-1524</t>
  </si>
  <si>
    <t>TXN-1796</t>
  </si>
  <si>
    <t>TXN-1001</t>
  </si>
  <si>
    <t>TXN-1706</t>
  </si>
  <si>
    <t>TXN-1650</t>
  </si>
  <si>
    <t>TXN-1797</t>
  </si>
  <si>
    <t>TXN-1343</t>
  </si>
  <si>
    <t>TXN-1434</t>
  </si>
  <si>
    <t>TXN-1266</t>
  </si>
  <si>
    <t>TXN-1685</t>
  </si>
  <si>
    <t>TXN-1082</t>
  </si>
  <si>
    <t>TXN-1282</t>
  </si>
  <si>
    <t>TXN-1223</t>
  </si>
  <si>
    <t>TXN-1203</t>
  </si>
  <si>
    <t>TXN-1174</t>
  </si>
  <si>
    <t>TXN-1257</t>
  </si>
  <si>
    <t>TXN-1450</t>
  </si>
  <si>
    <t>TXN-1616</t>
  </si>
  <si>
    <t>TXN-1467</t>
  </si>
  <si>
    <t>TXN-1829</t>
  </si>
  <si>
    <t>TXN-1643</t>
  </si>
  <si>
    <t>TXN-1637</t>
  </si>
  <si>
    <t>TXN-1443</t>
  </si>
  <si>
    <t>TXN-1843</t>
  </si>
  <si>
    <t>TXN-1512</t>
  </si>
  <si>
    <t>TXN-1853</t>
  </si>
  <si>
    <t>TXN-1559</t>
  </si>
  <si>
    <t>TXN-1291</t>
  </si>
  <si>
    <t>TXN-1687</t>
  </si>
  <si>
    <t>Dell Technologies</t>
  </si>
  <si>
    <t>TXN-1754</t>
  </si>
  <si>
    <t>TXN-1766</t>
  </si>
  <si>
    <t>TXN-1049</t>
  </si>
  <si>
    <t>TXN-1609</t>
  </si>
  <si>
    <t>TXN-1793</t>
  </si>
  <si>
    <t>TXN-1294</t>
  </si>
  <si>
    <t>TXN-1172</t>
  </si>
  <si>
    <t>TXN-1504</t>
  </si>
  <si>
    <t>TXN-1360</t>
  </si>
  <si>
    <t>TXN-1729</t>
  </si>
  <si>
    <t>TXN-1724</t>
  </si>
  <si>
    <t>TXN-1543</t>
  </si>
  <si>
    <t>TXN-1395</t>
  </si>
  <si>
    <t>TXN-1088</t>
  </si>
  <si>
    <t>TXN-1607</t>
  </si>
  <si>
    <t>TXN-1519</t>
  </si>
  <si>
    <t>TXN-1827</t>
  </si>
  <si>
    <t>TXN-1026</t>
  </si>
  <si>
    <t>TXN-1014</t>
  </si>
  <si>
    <t>TXN-1585</t>
  </si>
  <si>
    <t>TXN-1554</t>
  </si>
  <si>
    <t>TXN-1820</t>
  </si>
  <si>
    <t>TXN-1500</t>
  </si>
  <si>
    <t>TXN-1099</t>
  </si>
  <si>
    <t>TXN-1376</t>
  </si>
  <si>
    <t>TXN-1139</t>
  </si>
  <si>
    <t>TXN-1811</t>
  </si>
  <si>
    <t>TXN-1410</t>
  </si>
  <si>
    <t>TXN-1768</t>
  </si>
  <si>
    <t>TXN-1163</t>
  </si>
  <si>
    <t>Meta Business</t>
  </si>
  <si>
    <t>TXN-1563</t>
  </si>
  <si>
    <t>TXN-1591</t>
  </si>
  <si>
    <t>TXN-1444</t>
  </si>
  <si>
    <t>TXN-1222</t>
  </si>
  <si>
    <t>TXN-1037</t>
  </si>
  <si>
    <t>TXN-1151</t>
  </si>
  <si>
    <t>TXN-1648</t>
  </si>
  <si>
    <t>TXN-1228</t>
  </si>
  <si>
    <t>TXN-1669</t>
  </si>
  <si>
    <t>TXN-1855</t>
  </si>
  <si>
    <t>TXN-1365</t>
  </si>
  <si>
    <t>TXN-1695</t>
  </si>
  <si>
    <t>TXN-1140</t>
  </si>
  <si>
    <t>TXN-1568</t>
  </si>
  <si>
    <t>Sales Incentive Pool</t>
  </si>
  <si>
    <t>TXN-1730</t>
  </si>
  <si>
    <t>TXN-1485</t>
  </si>
  <si>
    <t>TXN-1684</t>
  </si>
  <si>
    <t>TXN-1187</t>
  </si>
  <si>
    <t>TXN-1146</t>
  </si>
  <si>
    <t>TXN-1055</t>
  </si>
  <si>
    <t>TXN-1059</t>
  </si>
  <si>
    <t>TXN-1011</t>
  </si>
  <si>
    <t>TXN-1233</t>
  </si>
  <si>
    <t>TXN-1418</t>
  </si>
  <si>
    <t>TXN-1604</t>
  </si>
  <si>
    <t>TXN-1085</t>
  </si>
  <si>
    <t>TXN-1166</t>
  </si>
  <si>
    <t>TXN-1819</t>
  </si>
  <si>
    <t>TXN-1128</t>
  </si>
  <si>
    <t>TXN-1022</t>
  </si>
  <si>
    <t>TXN-1671</t>
  </si>
  <si>
    <t>TXN-1590</t>
  </si>
  <si>
    <t>TXN-1551</t>
  </si>
  <si>
    <t>TXN-1248</t>
  </si>
  <si>
    <t>TXN-1595</t>
  </si>
  <si>
    <t>TXN-1399</t>
  </si>
  <si>
    <t>TXN-1237</t>
  </si>
  <si>
    <t>TXN-1810</t>
  </si>
  <si>
    <t>TXN-1320</t>
  </si>
  <si>
    <t>TXN-1535</t>
  </si>
  <si>
    <t>TXN-1611</t>
  </si>
  <si>
    <t>TXN-1668</t>
  </si>
  <si>
    <t>TXN-1599</t>
  </si>
  <si>
    <t>TXN-1168</t>
  </si>
  <si>
    <t>TXN-1703</t>
  </si>
  <si>
    <t>TXN-1176</t>
  </si>
  <si>
    <t>TXN-1367</t>
  </si>
  <si>
    <t>TXN-1629</t>
  </si>
  <si>
    <t>TXN-1436</t>
  </si>
  <si>
    <t>TXN-1063</t>
  </si>
  <si>
    <t>TXN-1605</t>
  </si>
  <si>
    <t>TXN-1603</t>
  </si>
  <si>
    <t>TXN-1104</t>
  </si>
  <si>
    <t>TXN-1439</t>
  </si>
  <si>
    <t>TXN-1580</t>
  </si>
  <si>
    <t>TXN-1102</t>
  </si>
  <si>
    <t>TXN-1314</t>
  </si>
  <si>
    <t>TXN-1476</t>
  </si>
  <si>
    <t>TXN-1091</t>
  </si>
  <si>
    <t>TXN-1226</t>
  </si>
  <si>
    <t>TXN-1065</t>
  </si>
  <si>
    <t>TXN-1451</t>
  </si>
  <si>
    <t>TXN-1653</t>
  </si>
  <si>
    <t>TXN-1852</t>
  </si>
  <si>
    <t>TXN-1062</t>
  </si>
  <si>
    <t>TXN-1302</t>
  </si>
  <si>
    <t>TXN-1135</t>
  </si>
  <si>
    <t>TXN-1262</t>
  </si>
  <si>
    <t>TXN-1756</t>
  </si>
  <si>
    <t>TXN-1046</t>
  </si>
  <si>
    <t>TXN-1663</t>
  </si>
  <si>
    <t>TXN-1841</t>
  </si>
  <si>
    <t>TXN-1702</t>
  </si>
  <si>
    <t>TXN-1857</t>
  </si>
  <si>
    <t>TXN-1723</t>
  </si>
  <si>
    <t>TXN-1129</t>
  </si>
  <si>
    <t>TXN-1244</t>
  </si>
  <si>
    <t>TXN-1683</t>
  </si>
  <si>
    <t>TXN-1716</t>
  </si>
  <si>
    <t>TXN-1259</t>
  </si>
  <si>
    <t>TXN-1385</t>
  </si>
  <si>
    <t>TXN-1805</t>
  </si>
  <si>
    <t>TXN-1318</t>
  </si>
  <si>
    <t>TXN-1721</t>
  </si>
  <si>
    <t>TXN-1727</t>
  </si>
  <si>
    <t>TXN-1840</t>
  </si>
  <si>
    <t>TXN-1662</t>
  </si>
  <si>
    <t>TXN-1459</t>
  </si>
  <si>
    <t>TXN-1005</t>
  </si>
  <si>
    <t>TXN-1317</t>
  </si>
  <si>
    <t>TXN-1681</t>
  </si>
  <si>
    <t>TXN-1722</t>
  </si>
  <si>
    <t>TXN-1749</t>
  </si>
  <si>
    <t>TXN-1521</t>
  </si>
  <si>
    <t>TXN-1240</t>
  </si>
  <si>
    <t>TXN-1324</t>
  </si>
  <si>
    <t>TXN-1864</t>
  </si>
  <si>
    <t>TXN-1159</t>
  </si>
  <si>
    <t>TXN-1016</t>
  </si>
  <si>
    <t>TXN-1096</t>
  </si>
  <si>
    <t>TXN-1117</t>
  </si>
  <si>
    <t>TXN-1130</t>
  </si>
  <si>
    <t>TXN-1056</t>
  </si>
  <si>
    <t>TXN-1003</t>
  </si>
  <si>
    <t>TXN-1078</t>
  </si>
  <si>
    <t>TXN-1460</t>
  </si>
  <si>
    <t>TXN-1119</t>
  </si>
  <si>
    <t>TXN-1071</t>
  </si>
  <si>
    <t>TXN-1780</t>
  </si>
  <si>
    <t>TXN-1799</t>
  </si>
  <si>
    <t>TXN-1384</t>
  </si>
  <si>
    <t>TXN-1802</t>
  </si>
  <si>
    <t>TXN-1425</t>
  </si>
  <si>
    <t>TXN-1503</t>
  </si>
  <si>
    <t>TXN-1364</t>
  </si>
  <si>
    <t>TXN-1400</t>
  </si>
  <si>
    <t>TXN-1408</t>
  </si>
  <si>
    <t>TXN-1464</t>
  </si>
  <si>
    <t>TXN-1623</t>
  </si>
  <si>
    <t>TXN-1087</t>
  </si>
  <si>
    <t>TXN-1445</t>
  </si>
  <si>
    <t>TXN-1252</t>
  </si>
  <si>
    <t>TXN-1251</t>
  </si>
  <si>
    <t>TXN-1812</t>
  </si>
  <si>
    <t>TXN-1173</t>
  </si>
  <si>
    <t>TXN-1256</t>
  </si>
  <si>
    <t>TXN-1419</t>
  </si>
  <si>
    <t>TXN-1713</t>
  </si>
  <si>
    <t>TXN-1447</t>
  </si>
  <si>
    <t>TXN-1533</t>
  </si>
  <si>
    <t>TXN-1101</t>
  </si>
  <si>
    <t>TXN-1079</t>
  </si>
  <si>
    <t>TXN-1738</t>
  </si>
  <si>
    <t>TXN-1353</t>
  </si>
  <si>
    <t>TXN-1284</t>
  </si>
  <si>
    <t>TXN-1304</t>
  </si>
  <si>
    <t>TXN-1431</t>
  </si>
  <si>
    <t>TXN-1075</t>
  </si>
  <si>
    <t>TXN-1391</t>
  </si>
  <si>
    <t>TXN-1850</t>
  </si>
  <si>
    <t>TXN-1509</t>
  </si>
  <si>
    <t>TXN-1674</t>
  </si>
  <si>
    <t>TXN-1161</t>
  </si>
  <si>
    <t>TXN-1341</t>
  </si>
  <si>
    <t>TXN-1433</t>
  </si>
  <si>
    <t>TXN-1540</t>
  </si>
  <si>
    <t>TXN-1241</t>
  </si>
  <si>
    <t>TXN-1051</t>
  </si>
  <si>
    <t>TXN-1308</t>
  </si>
  <si>
    <t>TXN-1578</t>
  </si>
  <si>
    <t>TXN-1666</t>
  </si>
  <si>
    <t>TXN-1185</t>
  </si>
  <si>
    <t>TXN-1134</t>
  </si>
  <si>
    <t>TXN-1158</t>
  </si>
  <si>
    <t>TXN-1184</t>
  </si>
  <si>
    <t>TXN-1692</t>
  </si>
  <si>
    <t>TXN-1649</t>
  </si>
  <si>
    <t>TXN-1449</t>
  </si>
  <si>
    <t>TXN-1145</t>
  </si>
  <si>
    <t>TXN-1397</t>
  </si>
  <si>
    <t>TXN-1283</t>
  </si>
  <si>
    <t>TXN-1123</t>
  </si>
  <si>
    <t>TXN-1803</t>
  </si>
  <si>
    <t>TXN-1594</t>
  </si>
  <si>
    <t>TXN-1334</t>
  </si>
  <si>
    <t>TXN-1381</t>
  </si>
  <si>
    <t>TXN-1326</t>
  </si>
  <si>
    <t>TXN-1775</t>
  </si>
  <si>
    <t>TXN-1571</t>
  </si>
  <si>
    <t>TXN-1109</t>
  </si>
  <si>
    <t>Underspend - deferred to next period</t>
  </si>
  <si>
    <t>TXN-1008</t>
  </si>
  <si>
    <t>TXN-1771</t>
  </si>
  <si>
    <t>TXN-1171</t>
  </si>
  <si>
    <t>TXN-1107</t>
  </si>
  <si>
    <t>TXN-1654</t>
  </si>
  <si>
    <t>TXN-1800</t>
  </si>
  <si>
    <t>TXN-1817</t>
  </si>
  <si>
    <t>TXN-1301</t>
  </si>
  <si>
    <t>TXN-1481</t>
  </si>
  <si>
    <t>TXN-1862</t>
  </si>
  <si>
    <t>TXN-1021</t>
  </si>
  <si>
    <t>TXN-1309</t>
  </si>
  <si>
    <t>TXN-1570</t>
  </si>
  <si>
    <t>TXN-1499</t>
  </si>
  <si>
    <t>TXN-1606</t>
  </si>
  <si>
    <t>TXN-1027</t>
  </si>
  <si>
    <t>TXN-1583</t>
  </si>
  <si>
    <t>TXN-1275</t>
  </si>
  <si>
    <t>TXN-1048</t>
  </si>
  <si>
    <t>TXN-1750</t>
  </si>
  <si>
    <t>TXN-1764</t>
  </si>
  <si>
    <t>TXN-1041</t>
  </si>
  <si>
    <t>TXN-1579</t>
  </si>
  <si>
    <t>TXN-1170</t>
  </si>
  <si>
    <t>TXN-1105</t>
  </si>
  <si>
    <t>TXN-1131</t>
  </si>
  <si>
    <t>TXN-1712</t>
  </si>
  <si>
    <t>TXN-1199</t>
  </si>
  <si>
    <t>TXN-1472</t>
  </si>
  <si>
    <t>TXN-1753</t>
  </si>
  <si>
    <t>TXN-1709</t>
  </si>
  <si>
    <t>TXN-1531</t>
  </si>
  <si>
    <t>TXN-1741</t>
  </si>
  <si>
    <t>TXN-1288</t>
  </si>
  <si>
    <t>TXN-1030</t>
  </si>
  <si>
    <t>TXN-1455</t>
  </si>
  <si>
    <t>TXN-1493</t>
  </si>
  <si>
    <t>TXN-1366</t>
  </si>
  <si>
    <t>TXN-1655</t>
  </si>
  <si>
    <t>TXN-1430</t>
  </si>
  <si>
    <t>TXN-1243</t>
  </si>
  <si>
    <t>TXN-1549</t>
  </si>
  <si>
    <t>TXN-1095</t>
  </si>
  <si>
    <t>TXN-1478</t>
  </si>
  <si>
    <t>TXN-1676</t>
  </si>
  <si>
    <t>TXN-1077</t>
  </si>
  <si>
    <t>TXN-1495</t>
  </si>
  <si>
    <t>TXN-1214</t>
  </si>
  <si>
    <t>TXN-1357</t>
  </si>
  <si>
    <t>TXN-1402</t>
  </si>
  <si>
    <t>TXN-1269</t>
  </si>
  <si>
    <t>TXN-1644</t>
  </si>
  <si>
    <t>TXN-1755</t>
  </si>
  <si>
    <t>TXN-1330</t>
  </si>
  <si>
    <t>TXN-1849</t>
  </si>
  <si>
    <t>TXN-1420</t>
  </si>
  <si>
    <t>TXN-1651</t>
  </si>
  <si>
    <t>TXN-1285</t>
  </si>
  <si>
    <t>TXN-1219</t>
  </si>
  <si>
    <t>TXN-1808</t>
  </si>
  <si>
    <t>TXN-1871</t>
  </si>
  <si>
    <t>TXN-1090</t>
  </si>
  <si>
    <t>TXN-1555</t>
  </si>
  <si>
    <t>TXN-1556</t>
  </si>
  <si>
    <t>TXN-1701</t>
  </si>
  <si>
    <t>TXN-1032</t>
  </si>
  <si>
    <t>TXN-1642</t>
  </si>
  <si>
    <t>TXN-1534</t>
  </si>
  <si>
    <t>TXN-1212</t>
  </si>
  <si>
    <t>TXN-1114</t>
  </si>
  <si>
    <t>TXN-1267</t>
  </si>
  <si>
    <t>TXN-1435</t>
  </si>
  <si>
    <t>TXN-1074</t>
  </si>
  <si>
    <t>TXN-1155</t>
  </si>
  <si>
    <t>TXN-1640</t>
  </si>
  <si>
    <t>TXN-1165</t>
  </si>
  <si>
    <t>TXN-1536</t>
  </si>
  <si>
    <t>TXN-1822</t>
  </si>
  <si>
    <t>TXN-1725</t>
  </si>
  <si>
    <t>TXN-1688</t>
  </si>
  <si>
    <t>TXN-1561</t>
  </si>
  <si>
    <t>TXN-1634</t>
  </si>
  <si>
    <t>TXN-1806</t>
  </si>
  <si>
    <t>TXN-1414</t>
  </si>
  <si>
    <t>TXN-1149</t>
  </si>
  <si>
    <t>TXN-1258</t>
  </si>
  <si>
    <t>TXN-1072</t>
  </si>
  <si>
    <t>TXN-1029</t>
  </si>
  <si>
    <t>TXN-1398</t>
  </si>
  <si>
    <t>TXN-1387</t>
  </si>
  <si>
    <t>TXN-1657</t>
  </si>
  <si>
    <t>TXN-1473</t>
  </si>
  <si>
    <t>TXN-1530</t>
  </si>
  <si>
    <t>TXN-1553</t>
  </si>
  <si>
    <t>TXN-1206</t>
  </si>
  <si>
    <t>TXN-1516</t>
  </si>
  <si>
    <t>TXN-1380</t>
  </si>
  <si>
    <t>TXN-1126</t>
  </si>
  <si>
    <t>TXN-1025</t>
  </si>
  <si>
    <t>TXN-1361</t>
  </si>
  <si>
    <t>TXN-1454</t>
  </si>
  <si>
    <t>TXN-1769</t>
  </si>
  <si>
    <t>TXN-1229</t>
  </si>
  <si>
    <t>TXN-1767</t>
  </si>
  <si>
    <t>TXN-1846</t>
  </si>
  <si>
    <t>TXN-1652</t>
  </si>
  <si>
    <t>TXN-1035</t>
  </si>
  <si>
    <t>TXN-1106</t>
  </si>
  <si>
    <t>TXN-1124</t>
  </si>
  <si>
    <t>TXN-1842</t>
  </si>
  <si>
    <t>TXN-1665</t>
  </si>
  <si>
    <t>TXN-1562</t>
  </si>
  <si>
    <t>TXN-1215</t>
  </si>
  <si>
    <t>TXN-1475</t>
  </si>
  <si>
    <t>TXN-1415</t>
  </si>
  <si>
    <t>TXN-1497</t>
  </si>
  <si>
    <t>TXN-1058</t>
  </si>
  <si>
    <t>TXN-1392</t>
  </si>
  <si>
    <t>TXN-1826</t>
  </si>
  <si>
    <t>TXN-1097</t>
  </si>
  <si>
    <t>TXN-1717</t>
  </si>
  <si>
    <t>TXN-1542</t>
  </si>
  <si>
    <t>TXN-1707</t>
  </si>
  <si>
    <t>TXN-1236</t>
  </si>
  <si>
    <t>TXN-1127</t>
  </si>
  <si>
    <t>TXN-1118</t>
  </si>
  <si>
    <t>TXN-1422</t>
  </si>
  <si>
    <t>TXN-1870</t>
  </si>
  <si>
    <t>TXN-1273</t>
  </si>
  <si>
    <t>TXN-1218</t>
  </si>
  <si>
    <t>TXN-1699</t>
  </si>
  <si>
    <t>TXN-1825</t>
  </si>
  <si>
    <t>TXN-1776</t>
  </si>
  <si>
    <t>TXN-1784</t>
  </si>
  <si>
    <t>TXN-1789</t>
  </si>
  <si>
    <t>TXN-1569</t>
  </si>
  <si>
    <t>TXN-1388</t>
  </si>
  <si>
    <t>TXN-1002</t>
  </si>
  <si>
    <t>TXN-1624</t>
  </si>
  <si>
    <t>TXN-1538</t>
  </si>
  <si>
    <t>TXN-1373</t>
  </si>
  <si>
    <t>TXN-1066</t>
  </si>
  <si>
    <t>TXN-1700</t>
  </si>
  <si>
    <t>TXN-1202</t>
  </si>
  <si>
    <t>TXN-1276</t>
  </si>
  <si>
    <t>TXN-1630</t>
  </si>
  <si>
    <t>TXN-1656</t>
  </si>
  <si>
    <t>TXN-1179</t>
  </si>
  <si>
    <t>TXN-1441</t>
  </si>
  <si>
    <t>TXN-1335</t>
  </si>
  <si>
    <t>TXN-1069</t>
  </si>
  <si>
    <t>TXN-1277</t>
  </si>
  <si>
    <t>TXN-1448</t>
  </si>
  <si>
    <t>TXN-1600</t>
  </si>
  <si>
    <t>TXN-1350</t>
  </si>
  <si>
    <t>TXN-1798</t>
  </si>
  <si>
    <t>TXN-1193</t>
  </si>
  <si>
    <t>TXN-1194</t>
  </si>
  <si>
    <t>TXN-1526</t>
  </si>
  <si>
    <t>TXN-1746</t>
  </si>
  <si>
    <t>TXN-1446</t>
  </si>
  <si>
    <t>TXN-1230</t>
  </si>
  <si>
    <t>TXN-1794</t>
  </si>
  <si>
    <t>TXN-1525</t>
  </si>
  <si>
    <t>TXN-1192</t>
  </si>
  <si>
    <t>TXN-1216</t>
  </si>
  <si>
    <t>TXN-1331</t>
  </si>
  <si>
    <t>TXN-1374</t>
  </si>
  <si>
    <t>TXN-1633</t>
  </si>
  <si>
    <t>TXN-1714</t>
  </si>
  <si>
    <t>TXN-1070</t>
  </si>
  <si>
    <t>TXN-1394</t>
  </si>
  <si>
    <t>TXN-1860</t>
  </si>
  <si>
    <t>TXN-1210</t>
  </si>
  <si>
    <t>TXN-1147</t>
  </si>
  <si>
    <t>TXN-1017</t>
  </si>
  <si>
    <t>TXN-1566</t>
  </si>
  <si>
    <t>TXN-1772</t>
  </si>
  <si>
    <t>TXN-1036</t>
  </si>
  <si>
    <t>TXN-1541</t>
  </si>
  <si>
    <t>TXN-1865</t>
  </si>
  <si>
    <t>TXN-1031</t>
  </si>
  <si>
    <t>TXN-1661</t>
  </si>
  <si>
    <t>TXN-1735</t>
  </si>
  <si>
    <t>TXN-1359</t>
  </si>
  <si>
    <t>TXN-1177</t>
  </si>
  <si>
    <t>TXN-1217</t>
  </si>
  <si>
    <t>TXN-1861</t>
  </si>
  <si>
    <t>TXN-1622</t>
  </si>
  <si>
    <t>TXN-1618</t>
  </si>
  <si>
    <t>TXN-1545</t>
  </si>
  <si>
    <t>TXN-1004</t>
  </si>
  <si>
    <t>TXN-1261</t>
  </si>
  <si>
    <t>TXN-1406</t>
  </si>
  <si>
    <t>TXN-1023</t>
  </si>
  <si>
    <t>TXN-1760</t>
  </si>
  <si>
    <t>TXN-1474</t>
  </si>
  <si>
    <t>TXN-1060</t>
  </si>
  <si>
    <t>TXN-1790</t>
  </si>
  <si>
    <t>TXN-1547</t>
  </si>
  <si>
    <t>TXN-1136</t>
  </si>
  <si>
    <t>TXN-1465</t>
  </si>
  <si>
    <t>TXN-1057</t>
  </si>
  <si>
    <t>TXN-1457</t>
  </si>
  <si>
    <t>TXN-1523</t>
  </si>
  <si>
    <t>TXN-1094</t>
  </si>
  <si>
    <t>TXN-1686</t>
  </si>
  <si>
    <t>TXN-1211</t>
  </si>
  <si>
    <t>TXN-1120</t>
  </si>
  <si>
    <t>TXN-1667</t>
  </si>
  <si>
    <t>TXN-1586</t>
  </si>
  <si>
    <t>TXN-1169</t>
  </si>
  <si>
    <t>TXN-1154</t>
  </si>
  <si>
    <t>TXN-1208</t>
  </si>
  <si>
    <t>TXN-1858</t>
  </si>
  <si>
    <t>TXN-1565</t>
  </si>
  <si>
    <t>TXN-1115</t>
  </si>
  <si>
    <t>TXN-1080</t>
  </si>
  <si>
    <t>TXN-1371</t>
  </si>
  <si>
    <t>TXN-1573</t>
  </si>
  <si>
    <t>TXN-1710</t>
  </si>
  <si>
    <t>TXN-1084</t>
  </si>
  <si>
    <t>TXN-1254</t>
  </si>
  <si>
    <t>TXN-1224</t>
  </si>
  <si>
    <t>TXN-1719</t>
  </si>
  <si>
    <t>TXN-1426</t>
  </si>
  <si>
    <t>TXN-1809</t>
  </si>
  <si>
    <t>TXN-1610</t>
  </si>
  <si>
    <t>TXN-1157</t>
  </si>
  <si>
    <t>TXN-1711</t>
  </si>
  <si>
    <t>TXN-1137</t>
  </si>
  <si>
    <t>TXN-1225</t>
  </si>
  <si>
    <t>TXN-1227</t>
  </si>
  <si>
    <t>TXN-1377</t>
  </si>
  <si>
    <t>TXN-1751</t>
  </si>
  <si>
    <t>TXN-1121</t>
  </si>
  <si>
    <t>TXN-1319</t>
  </si>
  <si>
    <t>TXN-1515</t>
  </si>
  <si>
    <t>TXN-1589</t>
  </si>
  <si>
    <t>TXN-1868</t>
  </si>
  <si>
    <t>TXN-1315</t>
  </si>
  <si>
    <t>TXN-1477</t>
  </si>
  <si>
    <t>TXN-1813</t>
  </si>
  <si>
    <t>TXN-1733</t>
  </si>
  <si>
    <t>TXN-1682</t>
  </si>
  <si>
    <t>TXN-1369</t>
  </si>
  <si>
    <t>TXN-1660</t>
  </si>
  <si>
    <t>TXN-1012</t>
  </si>
  <si>
    <t>TXN-1310</t>
  </si>
  <si>
    <t>TXN-1338</t>
  </si>
  <si>
    <t>TXN-1274</t>
  </si>
  <si>
    <t>TXN-1458</t>
  </si>
  <si>
    <t>TXN-1242</t>
  </si>
  <si>
    <t>TXN-1393</t>
  </si>
  <si>
    <t>TXN-1268</t>
  </si>
  <si>
    <t>TXN-1007</t>
  </si>
  <si>
    <t>TXN-1255</t>
  </si>
  <si>
    <t>TXN-1332</t>
  </si>
  <si>
    <t>TXN-1636</t>
  </si>
  <si>
    <t>TXN-1786</t>
  </si>
  <si>
    <t>TXN-1190</t>
  </si>
  <si>
    <t>TXN-1098</t>
  </si>
  <si>
    <t>TXN-1831</t>
  </si>
  <si>
    <t>TXN-1089</t>
  </si>
  <si>
    <t>TXN-1785</t>
  </si>
  <si>
    <t>TXN-1787</t>
  </si>
  <si>
    <t>TXN-1438</t>
  </si>
  <si>
    <t>TXN-1416</t>
  </si>
  <si>
    <t>TXN-1815</t>
  </si>
  <si>
    <t>TXN-1602</t>
  </si>
  <si>
    <t>TXN-1614</t>
  </si>
  <si>
    <t>TXN-1303</t>
  </si>
  <si>
    <t>TXN-1346</t>
  </si>
  <si>
    <t>TXN-1015</t>
  </si>
  <si>
    <t>TXN-1619</t>
  </si>
  <si>
    <t>TXN-1264</t>
  </si>
  <si>
    <t>TXN-1470</t>
  </si>
  <si>
    <t>TXN-1869</t>
  </si>
  <si>
    <t>TXN-1742</t>
  </si>
  <si>
    <t>TXN-1116</t>
  </si>
  <si>
    <t>TXN-1198</t>
  </si>
  <si>
    <t>TXN-1280</t>
  </si>
  <si>
    <t>TXN-1480</t>
  </si>
  <si>
    <t>TXN-1821</t>
  </si>
  <si>
    <t>TXN-1839</t>
  </si>
  <si>
    <t>TXN-1506</t>
  </si>
  <si>
    <t>TXN-1759</t>
  </si>
  <si>
    <t>TXN-1677</t>
  </si>
  <si>
    <t>TXN-1466</t>
  </si>
  <si>
    <t>TXN-1292</t>
  </si>
  <si>
    <t>TXN-1344</t>
  </si>
  <si>
    <t>TXN-1110</t>
  </si>
  <si>
    <t>TXN-1582</t>
  </si>
  <si>
    <t>TXN-1691</t>
  </si>
  <si>
    <t>TXN-1010</t>
  </si>
  <si>
    <t>TXN-1814</t>
  </si>
  <si>
    <t>TXN-1297</t>
  </si>
  <si>
    <t>TXN-1191</t>
  </si>
  <si>
    <t>TXN-1508</t>
  </si>
  <si>
    <t>TXN-1407</t>
  </si>
  <si>
    <t>TXN-1038</t>
  </si>
  <si>
    <t>TXN-1181</t>
  </si>
  <si>
    <t>TXN-1428</t>
  </si>
  <si>
    <t>TXN-1180</t>
  </si>
  <si>
    <t>TXN-1039</t>
  </si>
  <si>
    <t>TXN-1548</t>
  </si>
  <si>
    <t>TXN-1238</t>
  </si>
  <si>
    <t>TXN-1678</t>
  </si>
  <si>
    <t>TXN-1092</t>
  </si>
  <si>
    <t>TXN-1061</t>
  </si>
  <si>
    <t>TXN-1844</t>
  </si>
  <si>
    <t>TXN-1329</t>
  </si>
  <si>
    <t>TXN-1847</t>
  </si>
  <si>
    <t>TXN-1205</t>
  </si>
  <si>
    <t>TXN-1489</t>
  </si>
  <si>
    <t>TXN-1488</t>
  </si>
  <si>
    <t>TXN-1417</t>
  </si>
  <si>
    <t>TXN-1162</t>
  </si>
  <si>
    <t>TXN-1818</t>
  </si>
  <si>
    <t>TXN-1006</t>
  </si>
  <si>
    <t>TXN-1658</t>
  </si>
  <si>
    <t>TXN-1647</t>
  </si>
  <si>
    <t>TXN-1484</t>
  </si>
  <si>
    <t>TXN-1339</t>
  </si>
  <si>
    <t>TXN-1424</t>
  </si>
  <si>
    <t>TXN-1103</t>
  </si>
  <si>
    <t>TXN-1054</t>
  </si>
  <si>
    <t>TXN-1239</t>
  </si>
  <si>
    <t>TXN-1232</t>
  </si>
  <si>
    <t>TXN-1544</t>
  </si>
  <si>
    <t>TXN-1851</t>
  </si>
  <si>
    <t>TXN-1736</t>
  </si>
  <si>
    <t>TXN-1246</t>
  </si>
  <si>
    <t>TXN-1601</t>
  </si>
  <si>
    <t>TXN-1631</t>
  </si>
  <si>
    <t>TXN-1112</t>
  </si>
  <si>
    <t>TXN-1795</t>
  </si>
  <si>
    <t>TXN-1279</t>
  </si>
  <si>
    <t>TXN-1828</t>
  </si>
  <si>
    <t>TXN-1278</t>
  </si>
  <si>
    <t>TXN-1552</t>
  </si>
  <si>
    <t>TXN-1207</t>
  </si>
  <si>
    <t>TXN-1220</t>
  </si>
  <si>
    <t>TXN-1491</t>
  </si>
  <si>
    <t>TXN-1263</t>
  </si>
  <si>
    <t>TXN-1453</t>
  </si>
  <si>
    <t>TXN-1355</t>
  </si>
  <si>
    <t>TXN-1081</t>
  </si>
  <si>
    <t>TXN-1680</t>
  </si>
  <si>
    <t>TXN-1044</t>
  </si>
  <si>
    <t>TXN-1298</t>
  </si>
  <si>
    <t>TXN-1150</t>
  </si>
  <si>
    <t>TXN-1354</t>
  </si>
  <si>
    <t>TXN-1405</t>
  </si>
  <si>
    <t>TXN-1389</t>
  </si>
  <si>
    <t>TXN-1557</t>
  </si>
  <si>
    <t>TXN-1588</t>
  </si>
  <si>
    <t>TXN-1125</t>
  </si>
  <si>
    <t>TXN-1295</t>
  </si>
  <si>
    <t>TXN-1281</t>
  </si>
  <si>
    <t>TXN-1574</t>
  </si>
  <si>
    <t>TXN-1358</t>
  </si>
  <si>
    <t>TXN-1837</t>
  </si>
  <si>
    <t>TXN-1325</t>
  </si>
  <si>
    <t>TXN-1501</t>
  </si>
  <si>
    <t>TXN-1715</t>
  </si>
  <si>
    <t>TXN-1824</t>
  </si>
  <si>
    <t>TXN-1305</t>
  </si>
  <si>
    <t>TXN-1231</t>
  </si>
  <si>
    <t>TXN-1306</t>
  </si>
  <si>
    <t>TXN-1807</t>
  </si>
  <si>
    <t>TXN-1286</t>
  </si>
  <si>
    <t>TXN-1253</t>
  </si>
  <si>
    <t>TXN-1197</t>
  </si>
  <si>
    <t>TXN-1496</t>
  </si>
  <si>
    <t>TXN-1625</t>
  </si>
  <si>
    <t>TXN-1838</t>
  </si>
  <si>
    <t>TXN-1659</t>
  </si>
  <si>
    <t>TXN-1737</t>
  </si>
  <si>
    <t>TXN-1693</t>
  </si>
  <si>
    <t>TXN-1363</t>
  </si>
  <si>
    <t>TXN-1560</t>
  </si>
  <si>
    <t>TXN-1351</t>
  </si>
  <si>
    <t>TXN-1773</t>
  </si>
  <si>
    <t>TXN-1471</t>
  </si>
  <si>
    <t>TXN-1178</t>
  </si>
  <si>
    <t>TXN-1728</t>
  </si>
  <si>
    <t>TXN-1386</t>
  </si>
  <si>
    <t>TXN-1539</t>
  </si>
  <si>
    <t>TXN-1490</t>
  </si>
  <si>
    <t>TXN-1679</t>
  </si>
  <si>
    <t>TXN-1333</t>
  </si>
  <si>
    <t>TXN-1575</t>
  </si>
  <si>
    <t>TXN-1213</t>
  </si>
  <si>
    <t>TXN-1791</t>
  </si>
  <si>
    <t>TXN-1142</t>
  </si>
  <si>
    <t>TXN-1064</t>
  </si>
  <si>
    <t>TXN-1483</t>
  </si>
  <si>
    <t>TXN-1627</t>
  </si>
  <si>
    <t>TXN-1514</t>
  </si>
  <si>
    <t>TXN-1421</t>
  </si>
  <si>
    <t>TXN-1209</t>
  </si>
  <si>
    <t>TXN-1708</t>
  </si>
  <si>
    <t>TXN-1423</t>
  </si>
  <si>
    <t>TXN-1156</t>
  </si>
  <si>
    <t>TXN-1429</t>
  </si>
  <si>
    <t>TXN-1322</t>
  </si>
  <si>
    <t>TXN-1452</t>
  </si>
  <si>
    <t>TXN-1020</t>
  </si>
  <si>
    <t>TXN-1196</t>
  </si>
  <si>
    <t>TXN-1763</t>
  </si>
  <si>
    <t>TXN-1718</t>
  </si>
  <si>
    <t>TXN-1587</t>
  </si>
  <si>
    <t>TXN-1033</t>
  </si>
  <si>
    <t>TXN-1249</t>
  </si>
  <si>
    <t>TXN-1698</t>
  </si>
  <si>
    <t>TXN-1152</t>
  </si>
  <si>
    <t>TXN-1390</t>
  </si>
  <si>
    <t>TXN-1635</t>
  </si>
  <si>
    <t>TXN-1748</t>
  </si>
  <si>
    <t>TXN-1757</t>
  </si>
  <si>
    <t>TXN-1537</t>
  </si>
  <si>
    <t>TXN-1175</t>
  </si>
  <si>
    <t>TXN-1492</t>
  </si>
  <si>
    <t>TXN-1761</t>
  </si>
  <si>
    <t>TXN-1830</t>
  </si>
  <si>
    <t>TXN-1872</t>
  </si>
  <si>
    <t>TXN-1234</t>
  </si>
  <si>
    <t>TXN-1873</t>
  </si>
  <si>
    <t>TXN-1593</t>
  </si>
  <si>
    <t>TXN-1672</t>
  </si>
  <si>
    <t>TXN-1272</t>
  </si>
  <si>
    <t>TXN-1792</t>
  </si>
  <si>
    <t>TXN-1848</t>
  </si>
  <si>
    <t>TXN-1028</t>
  </si>
  <si>
    <t>TXN-1645</t>
  </si>
  <si>
    <t>TXN-1705</t>
  </si>
  <si>
    <t>TXN-1743</t>
  </si>
  <si>
    <t>TXN-1863</t>
  </si>
  <si>
    <t>TXN-1854</t>
  </si>
  <si>
    <t>TXN-1427</t>
  </si>
  <si>
    <t>TXN-1113</t>
  </si>
  <si>
    <t>TXN-1690</t>
  </si>
  <si>
    <t>TXN-1340</t>
  </si>
  <si>
    <t>TXN-1378</t>
  </si>
  <si>
    <t>TXN-1018</t>
  </si>
  <si>
    <t>TXN-1487</t>
  </si>
  <si>
    <t>TXN-1778</t>
  </si>
  <si>
    <t>TXN-1577</t>
  </si>
  <si>
    <t>TXN-1726</t>
  </si>
  <si>
    <t>TXN-1502</t>
  </si>
  <si>
    <t>TXN-1546</t>
  </si>
  <si>
    <t>TXN-1801</t>
  </si>
  <si>
    <t>TXN-1520</t>
  </si>
  <si>
    <t>TXN-1345</t>
  </si>
  <si>
    <t>TXN-1608</t>
  </si>
  <si>
    <t>TXN-1307</t>
  </si>
  <si>
    <t>TXN-1758</t>
  </si>
  <si>
    <t>TXN-1632</t>
  </si>
  <si>
    <t>TXN-1859</t>
  </si>
  <si>
    <t>TXN-1167</t>
  </si>
  <si>
    <t>TXN-1327</t>
  </si>
  <si>
    <t>TXN-1628</t>
  </si>
  <si>
    <t>TXN-1874</t>
  </si>
  <si>
    <t>TXN-1144</t>
  </si>
  <si>
    <t>TXN-1866</t>
  </si>
  <si>
    <t>TXN-1621</t>
  </si>
  <si>
    <t>TXN-1153</t>
  </si>
  <si>
    <t>TXN-1468</t>
  </si>
  <si>
    <t>TXN-1532</t>
  </si>
  <si>
    <t>TXN-1486</t>
  </si>
  <si>
    <t>TXN-1342</t>
  </si>
  <si>
    <t>TXN-1731</t>
  </si>
  <si>
    <t>TXN-1141</t>
  </si>
  <si>
    <t>TXN-1040</t>
  </si>
  <si>
    <t>TXN-1832</t>
  </si>
  <si>
    <t>TXN-1042</t>
  </si>
  <si>
    <t>TXN-1513</t>
  </si>
  <si>
    <t>TXN-1412</t>
  </si>
  <si>
    <t>TXN-1522</t>
  </si>
  <si>
    <t>TXN-1617</t>
  </si>
  <si>
    <t>TXN-1204</t>
  </si>
  <si>
    <t>TXN-1148</t>
  </si>
  <si>
    <t>TXN-1774</t>
  </si>
  <si>
    <t>TXN-1833</t>
  </si>
  <si>
    <t>TXN-1572</t>
  </si>
  <si>
    <t>TXN-1348</t>
  </si>
  <si>
    <t>TXN-1383</t>
  </si>
  <si>
    <t>TXN-1404</t>
  </si>
  <si>
    <t>TXN-1100</t>
  </si>
  <si>
    <t>TXN-1132</t>
  </si>
  <si>
    <t>TXN-1122</t>
  </si>
  <si>
    <t>TXN-1626</t>
  </si>
  <si>
    <t>TXN-1697</t>
  </si>
  <si>
    <t>TXN-1639</t>
  </si>
  <si>
    <t>TXN-1287</t>
  </si>
  <si>
    <t>TXN-1564</t>
  </si>
  <si>
    <t>TXN-1835</t>
  </si>
  <si>
    <t>TXN-1462</t>
  </si>
  <si>
    <t>TXN-1517</t>
  </si>
  <si>
    <t>TXN-1396</t>
  </si>
  <si>
    <t>TXN-1076</t>
  </si>
  <si>
    <t>TXN-1296</t>
  </si>
  <si>
    <t>TXN-1567</t>
  </si>
  <si>
    <t>TXN-1372</t>
  </si>
  <si>
    <t>TXN-1200</t>
  </si>
  <si>
    <t>TXN-1576</t>
  </si>
  <si>
    <t>TXN-1584</t>
  </si>
  <si>
    <t>TXN-1053</t>
  </si>
  <si>
    <t>TXN-1411</t>
  </si>
  <si>
    <t>TXN-1047</t>
  </si>
  <si>
    <t>TXN-1836</t>
  </si>
  <si>
    <t>TXN-1413</t>
  </si>
  <si>
    <t>TXN-1783</t>
  </si>
  <si>
    <t>TXN-1375</t>
  </si>
  <si>
    <t>TXN-1745</t>
  </si>
  <si>
    <t>TXN-1271</t>
  </si>
  <si>
    <t>TXN-1138</t>
  </si>
  <si>
    <t>TXN-1442</t>
  </si>
  <si>
    <t>TXN-1111</t>
  </si>
  <si>
    <t>TXN-1009</t>
  </si>
  <si>
    <t>TXN-1550</t>
  </si>
  <si>
    <t>TXN-1293</t>
  </si>
  <si>
    <t>TXN-1482</t>
  </si>
  <si>
    <t>TXN-1689</t>
  </si>
  <si>
    <t>TXN-1670</t>
  </si>
  <si>
    <t>TXN-1612</t>
  </si>
  <si>
    <t>TXN-1507</t>
  </si>
  <si>
    <t>TXN-1289</t>
  </si>
  <si>
    <t>TXN-1052</t>
  </si>
  <si>
    <t>TXN-1050</t>
  </si>
  <si>
    <t>TXN-1362</t>
  </si>
  <si>
    <t>TXN-1598</t>
  </si>
  <si>
    <t>TXN-1221</t>
  </si>
  <si>
    <t>TXN-1247</t>
  </si>
  <si>
    <t>TXN-1469</t>
  </si>
  <si>
    <t>TXN-1518</t>
  </si>
  <si>
    <t>TXN-1403</t>
  </si>
  <si>
    <t>TXN-1093</t>
  </si>
  <si>
    <t>TXN-1024</t>
  </si>
  <si>
    <t>TXN-1510</t>
  </si>
  <si>
    <t>TXN-1316</t>
  </si>
  <si>
    <t>TXN-1867</t>
  </si>
  <si>
    <t>TXN-1479</t>
  </si>
  <si>
    <t>TXN-1528</t>
  </si>
  <si>
    <t>TXN-1511</t>
  </si>
  <si>
    <t>TXN-1164</t>
  </si>
  <si>
    <t>TXN-1782</t>
  </si>
  <si>
    <t>TXN-1195</t>
  </si>
  <si>
    <t>TXN-1321</t>
  </si>
  <si>
    <t>TXN-1739</t>
  </si>
  <si>
    <t>TXN-1592</t>
  </si>
  <si>
    <t>TXN-1336</t>
  </si>
  <si>
    <t>TXN-1834</t>
  </si>
  <si>
    <t>Lookup_Key</t>
  </si>
  <si>
    <t>Annual_Budget (INR)</t>
  </si>
  <si>
    <t>Monthly_Budget (INR)</t>
  </si>
  <si>
    <t>HR|Payroll|1</t>
  </si>
  <si>
    <t>HR|Training|1</t>
  </si>
  <si>
    <t>HR|Recruitment|1</t>
  </si>
  <si>
    <t>HR|Travel|1</t>
  </si>
  <si>
    <t>Marketing|Payroll|1</t>
  </si>
  <si>
    <t>Marketing|Ad Spend|1</t>
  </si>
  <si>
    <t>Marketing|Events|1</t>
  </si>
  <si>
    <t>Marketing|Travel|1</t>
  </si>
  <si>
    <t>IT|Payroll|1</t>
  </si>
  <si>
    <t>IT|Software Licenses|1</t>
  </si>
  <si>
    <t>IT|Hardware|1</t>
  </si>
  <si>
    <t>IT|Cloud Services|1</t>
  </si>
  <si>
    <t>Operations|Payroll|1</t>
  </si>
  <si>
    <t>Operations|Logistics|1</t>
  </si>
  <si>
    <t>Operations|Maintenance|1</t>
  </si>
  <si>
    <t>Operations|Travel|1</t>
  </si>
  <si>
    <t>Finance|Payroll|1</t>
  </si>
  <si>
    <t>Finance|Audit Fees|1</t>
  </si>
  <si>
    <t>Finance|Software Licenses|1</t>
  </si>
  <si>
    <t>Finance|Training|1</t>
  </si>
  <si>
    <t>Sales|Payroll|1</t>
  </si>
  <si>
    <t>Sales|Commissions|1</t>
  </si>
  <si>
    <t>Sales|Travel|1</t>
  </si>
  <si>
    <t>Sales|Entertainment|1</t>
  </si>
  <si>
    <t>HR|Payroll|2</t>
  </si>
  <si>
    <t>HR|Training|2</t>
  </si>
  <si>
    <t>HR|Recruitment|2</t>
  </si>
  <si>
    <t>HR|Travel|2</t>
  </si>
  <si>
    <t>Marketing|Payroll|2</t>
  </si>
  <si>
    <t>Marketing|Ad Spend|2</t>
  </si>
  <si>
    <t>Marketing|Events|2</t>
  </si>
  <si>
    <t>Marketing|Travel|2</t>
  </si>
  <si>
    <t>IT|Payroll|2</t>
  </si>
  <si>
    <t>IT|Software Licenses|2</t>
  </si>
  <si>
    <t>IT|Hardware|2</t>
  </si>
  <si>
    <t>IT|Cloud Services|2</t>
  </si>
  <si>
    <t>Operations|Payroll|2</t>
  </si>
  <si>
    <t>Operations|Logistics|2</t>
  </si>
  <si>
    <t>Operations|Maintenance|2</t>
  </si>
  <si>
    <t>Operations|Travel|2</t>
  </si>
  <si>
    <t>Finance|Payroll|2</t>
  </si>
  <si>
    <t>Finance|Audit Fees|2</t>
  </si>
  <si>
    <t>Finance|Software Licenses|2</t>
  </si>
  <si>
    <t>Finance|Training|2</t>
  </si>
  <si>
    <t>Sales|Payroll|2</t>
  </si>
  <si>
    <t>Sales|Commissions|2</t>
  </si>
  <si>
    <t>Sales|Travel|2</t>
  </si>
  <si>
    <t>Sales|Entertainment|2</t>
  </si>
  <si>
    <t>HR|Payroll|3</t>
  </si>
  <si>
    <t>HR|Training|3</t>
  </si>
  <si>
    <t>HR|Recruitment|3</t>
  </si>
  <si>
    <t>HR|Travel|3</t>
  </si>
  <si>
    <t>Marketing|Payroll|3</t>
  </si>
  <si>
    <t>Marketing|Ad Spend|3</t>
  </si>
  <si>
    <t>Marketing|Events|3</t>
  </si>
  <si>
    <t>Marketing|Travel|3</t>
  </si>
  <si>
    <t>IT|Payroll|3</t>
  </si>
  <si>
    <t>IT|Software Licenses|3</t>
  </si>
  <si>
    <t>IT|Hardware|3</t>
  </si>
  <si>
    <t>IT|Cloud Services|3</t>
  </si>
  <si>
    <t>Operations|Payroll|3</t>
  </si>
  <si>
    <t>Operations|Logistics|3</t>
  </si>
  <si>
    <t>Operations|Maintenance|3</t>
  </si>
  <si>
    <t>Operations|Travel|3</t>
  </si>
  <si>
    <t>Finance|Payroll|3</t>
  </si>
  <si>
    <t>Finance|Audit Fees|3</t>
  </si>
  <si>
    <t>Finance|Software Licenses|3</t>
  </si>
  <si>
    <t>Finance|Training|3</t>
  </si>
  <si>
    <t>Sales|Payroll|3</t>
  </si>
  <si>
    <t>Sales|Commissions|3</t>
  </si>
  <si>
    <t>Sales|Travel|3</t>
  </si>
  <si>
    <t>Sales|Entertainment|3</t>
  </si>
  <si>
    <t>HR|Payroll|4</t>
  </si>
  <si>
    <t>HR|Training|4</t>
  </si>
  <si>
    <t>HR|Recruitment|4</t>
  </si>
  <si>
    <t>HR|Travel|4</t>
  </si>
  <si>
    <t>Marketing|Payroll|4</t>
  </si>
  <si>
    <t>Marketing|Ad Spend|4</t>
  </si>
  <si>
    <t>Marketing|Events|4</t>
  </si>
  <si>
    <t>Marketing|Travel|4</t>
  </si>
  <si>
    <t>IT|Payroll|4</t>
  </si>
  <si>
    <t>IT|Software Licenses|4</t>
  </si>
  <si>
    <t>IT|Hardware|4</t>
  </si>
  <si>
    <t>IT|Cloud Services|4</t>
  </si>
  <si>
    <t>Operations|Payroll|4</t>
  </si>
  <si>
    <t>Operations|Logistics|4</t>
  </si>
  <si>
    <t>Operations|Maintenance|4</t>
  </si>
  <si>
    <t>Operations|Travel|4</t>
  </si>
  <si>
    <t>Finance|Payroll|4</t>
  </si>
  <si>
    <t>Finance|Audit Fees|4</t>
  </si>
  <si>
    <t>Finance|Software Licenses|4</t>
  </si>
  <si>
    <t>Finance|Training|4</t>
  </si>
  <si>
    <t>Sales|Payroll|4</t>
  </si>
  <si>
    <t>Sales|Commissions|4</t>
  </si>
  <si>
    <t>Sales|Travel|4</t>
  </si>
  <si>
    <t>Sales|Entertainment|4</t>
  </si>
  <si>
    <t>HR|Payroll|5</t>
  </si>
  <si>
    <t>HR|Training|5</t>
  </si>
  <si>
    <t>HR|Recruitment|5</t>
  </si>
  <si>
    <t>HR|Travel|5</t>
  </si>
  <si>
    <t>Marketing|Payroll|5</t>
  </si>
  <si>
    <t>Marketing|Ad Spend|5</t>
  </si>
  <si>
    <t>Marketing|Events|5</t>
  </si>
  <si>
    <t>Marketing|Travel|5</t>
  </si>
  <si>
    <t>IT|Payroll|5</t>
  </si>
  <si>
    <t>IT|Software Licenses|5</t>
  </si>
  <si>
    <t>IT|Hardware|5</t>
  </si>
  <si>
    <t>IT|Cloud Services|5</t>
  </si>
  <si>
    <t>Operations|Payroll|5</t>
  </si>
  <si>
    <t>Operations|Logistics|5</t>
  </si>
  <si>
    <t>Operations|Maintenance|5</t>
  </si>
  <si>
    <t>Operations|Travel|5</t>
  </si>
  <si>
    <t>Finance|Payroll|5</t>
  </si>
  <si>
    <t>Finance|Audit Fees|5</t>
  </si>
  <si>
    <t>Finance|Software Licenses|5</t>
  </si>
  <si>
    <t>Finance|Training|5</t>
  </si>
  <si>
    <t>Sales|Payroll|5</t>
  </si>
  <si>
    <t>Sales|Commissions|5</t>
  </si>
  <si>
    <t>Sales|Travel|5</t>
  </si>
  <si>
    <t>Sales|Entertainment|5</t>
  </si>
  <si>
    <t>HR|Payroll|6</t>
  </si>
  <si>
    <t>HR|Training|6</t>
  </si>
  <si>
    <t>HR|Recruitment|6</t>
  </si>
  <si>
    <t>HR|Travel|6</t>
  </si>
  <si>
    <t>Marketing|Payroll|6</t>
  </si>
  <si>
    <t>Marketing|Ad Spend|6</t>
  </si>
  <si>
    <t>Marketing|Events|6</t>
  </si>
  <si>
    <t>Marketing|Travel|6</t>
  </si>
  <si>
    <t>IT|Payroll|6</t>
  </si>
  <si>
    <t>IT|Software Licenses|6</t>
  </si>
  <si>
    <t>IT|Hardware|6</t>
  </si>
  <si>
    <t>IT|Cloud Services|6</t>
  </si>
  <si>
    <t>Operations|Payroll|6</t>
  </si>
  <si>
    <t>Operations|Logistics|6</t>
  </si>
  <si>
    <t>Operations|Maintenance|6</t>
  </si>
  <si>
    <t>Operations|Travel|6</t>
  </si>
  <si>
    <t>Finance|Payroll|6</t>
  </si>
  <si>
    <t>Finance|Audit Fees|6</t>
  </si>
  <si>
    <t>Finance|Software Licenses|6</t>
  </si>
  <si>
    <t>Finance|Training|6</t>
  </si>
  <si>
    <t>Sales|Payroll|6</t>
  </si>
  <si>
    <t>Sales|Commissions|6</t>
  </si>
  <si>
    <t>Sales|Travel|6</t>
  </si>
  <si>
    <t>Sales|Entertainment|6</t>
  </si>
  <si>
    <t>HR|Payroll|7</t>
  </si>
  <si>
    <t>HR|Training|7</t>
  </si>
  <si>
    <t>HR|Recruitment|7</t>
  </si>
  <si>
    <t>HR|Travel|7</t>
  </si>
  <si>
    <t>Marketing|Payroll|7</t>
  </si>
  <si>
    <t>Marketing|Ad Spend|7</t>
  </si>
  <si>
    <t>Marketing|Events|7</t>
  </si>
  <si>
    <t>Marketing|Travel|7</t>
  </si>
  <si>
    <t>IT|Payroll|7</t>
  </si>
  <si>
    <t>IT|Software Licenses|7</t>
  </si>
  <si>
    <t>IT|Hardware|7</t>
  </si>
  <si>
    <t>IT|Cloud Services|7</t>
  </si>
  <si>
    <t>Operations|Payroll|7</t>
  </si>
  <si>
    <t>Operations|Logistics|7</t>
  </si>
  <si>
    <t>Operations|Maintenance|7</t>
  </si>
  <si>
    <t>Operations|Travel|7</t>
  </si>
  <si>
    <t>Finance|Payroll|7</t>
  </si>
  <si>
    <t>Finance|Audit Fees|7</t>
  </si>
  <si>
    <t>Finance|Software Licenses|7</t>
  </si>
  <si>
    <t>Finance|Training|7</t>
  </si>
  <si>
    <t>Sales|Payroll|7</t>
  </si>
  <si>
    <t>Sales|Commissions|7</t>
  </si>
  <si>
    <t>Sales|Travel|7</t>
  </si>
  <si>
    <t>Sales|Entertainment|7</t>
  </si>
  <si>
    <t>HR|Payroll|8</t>
  </si>
  <si>
    <t>HR|Training|8</t>
  </si>
  <si>
    <t>HR|Recruitment|8</t>
  </si>
  <si>
    <t>HR|Travel|8</t>
  </si>
  <si>
    <t>Marketing|Payroll|8</t>
  </si>
  <si>
    <t>Marketing|Ad Spend|8</t>
  </si>
  <si>
    <t>Marketing|Events|8</t>
  </si>
  <si>
    <t>Marketing|Travel|8</t>
  </si>
  <si>
    <t>IT|Payroll|8</t>
  </si>
  <si>
    <t>IT|Software Licenses|8</t>
  </si>
  <si>
    <t>IT|Hardware|8</t>
  </si>
  <si>
    <t>IT|Cloud Services|8</t>
  </si>
  <si>
    <t>Operations|Payroll|8</t>
  </si>
  <si>
    <t>Operations|Logistics|8</t>
  </si>
  <si>
    <t>Operations|Maintenance|8</t>
  </si>
  <si>
    <t>Operations|Travel|8</t>
  </si>
  <si>
    <t>Finance|Payroll|8</t>
  </si>
  <si>
    <t>Finance|Audit Fees|8</t>
  </si>
  <si>
    <t>Finance|Software Licenses|8</t>
  </si>
  <si>
    <t>Finance|Training|8</t>
  </si>
  <si>
    <t>Sales|Payroll|8</t>
  </si>
  <si>
    <t>Sales|Commissions|8</t>
  </si>
  <si>
    <t>Sales|Travel|8</t>
  </si>
  <si>
    <t>Sales|Entertainment|8</t>
  </si>
  <si>
    <t>HR|Payroll|9</t>
  </si>
  <si>
    <t>HR|Training|9</t>
  </si>
  <si>
    <t>HR|Recruitment|9</t>
  </si>
  <si>
    <t>HR|Travel|9</t>
  </si>
  <si>
    <t>Marketing|Payroll|9</t>
  </si>
  <si>
    <t>Marketing|Ad Spend|9</t>
  </si>
  <si>
    <t>Marketing|Events|9</t>
  </si>
  <si>
    <t>Marketing|Travel|9</t>
  </si>
  <si>
    <t>IT|Payroll|9</t>
  </si>
  <si>
    <t>IT|Software Licenses|9</t>
  </si>
  <si>
    <t>IT|Hardware|9</t>
  </si>
  <si>
    <t>IT|Cloud Services|9</t>
  </si>
  <si>
    <t>Operations|Payroll|9</t>
  </si>
  <si>
    <t>Operations|Logistics|9</t>
  </si>
  <si>
    <t>Operations|Maintenance|9</t>
  </si>
  <si>
    <t>Operations|Travel|9</t>
  </si>
  <si>
    <t>Finance|Payroll|9</t>
  </si>
  <si>
    <t>Finance|Audit Fees|9</t>
  </si>
  <si>
    <t>Finance|Software Licenses|9</t>
  </si>
  <si>
    <t>Finance|Training|9</t>
  </si>
  <si>
    <t>Sales|Payroll|9</t>
  </si>
  <si>
    <t>Sales|Commissions|9</t>
  </si>
  <si>
    <t>Sales|Travel|9</t>
  </si>
  <si>
    <t>Sales|Entertainment|9</t>
  </si>
  <si>
    <t>HR|Payroll|10</t>
  </si>
  <si>
    <t>HR|Training|10</t>
  </si>
  <si>
    <t>HR|Recruitment|10</t>
  </si>
  <si>
    <t>HR|Travel|10</t>
  </si>
  <si>
    <t>Marketing|Payroll|10</t>
  </si>
  <si>
    <t>Marketing|Ad Spend|10</t>
  </si>
  <si>
    <t>Marketing|Events|10</t>
  </si>
  <si>
    <t>Marketing|Travel|10</t>
  </si>
  <si>
    <t>IT|Payroll|10</t>
  </si>
  <si>
    <t>IT|Software Licenses|10</t>
  </si>
  <si>
    <t>IT|Hardware|10</t>
  </si>
  <si>
    <t>IT|Cloud Services|10</t>
  </si>
  <si>
    <t>Operations|Payroll|10</t>
  </si>
  <si>
    <t>Operations|Logistics|10</t>
  </si>
  <si>
    <t>Operations|Maintenance|10</t>
  </si>
  <si>
    <t>Operations|Travel|10</t>
  </si>
  <si>
    <t>Finance|Payroll|10</t>
  </si>
  <si>
    <t>Finance|Audit Fees|10</t>
  </si>
  <si>
    <t>Finance|Software Licenses|10</t>
  </si>
  <si>
    <t>Finance|Training|10</t>
  </si>
  <si>
    <t>Sales|Payroll|10</t>
  </si>
  <si>
    <t>Sales|Commissions|10</t>
  </si>
  <si>
    <t>Sales|Travel|10</t>
  </si>
  <si>
    <t>Sales|Entertainment|10</t>
  </si>
  <si>
    <t>HR|Payroll|11</t>
  </si>
  <si>
    <t>HR|Training|11</t>
  </si>
  <si>
    <t>HR|Recruitment|11</t>
  </si>
  <si>
    <t>HR|Travel|11</t>
  </si>
  <si>
    <t>Marketing|Payroll|11</t>
  </si>
  <si>
    <t>Marketing|Ad Spend|11</t>
  </si>
  <si>
    <t>Marketing|Events|11</t>
  </si>
  <si>
    <t>Marketing|Travel|11</t>
  </si>
  <si>
    <t>IT|Payroll|11</t>
  </si>
  <si>
    <t>IT|Software Licenses|11</t>
  </si>
  <si>
    <t>IT|Hardware|11</t>
  </si>
  <si>
    <t>IT|Cloud Services|11</t>
  </si>
  <si>
    <t>Operations|Payroll|11</t>
  </si>
  <si>
    <t>Operations|Logistics|11</t>
  </si>
  <si>
    <t>Operations|Maintenance|11</t>
  </si>
  <si>
    <t>Operations|Travel|11</t>
  </si>
  <si>
    <t>Finance|Payroll|11</t>
  </si>
  <si>
    <t>Finance|Audit Fees|11</t>
  </si>
  <si>
    <t>Finance|Software Licenses|11</t>
  </si>
  <si>
    <t>Finance|Training|11</t>
  </si>
  <si>
    <t>Sales|Payroll|11</t>
  </si>
  <si>
    <t>Sales|Commissions|11</t>
  </si>
  <si>
    <t>Sales|Travel|11</t>
  </si>
  <si>
    <t>Sales|Entertainment|11</t>
  </si>
  <si>
    <t>HR|Payroll|12</t>
  </si>
  <si>
    <t>HR|Training|12</t>
  </si>
  <si>
    <t>HR|Recruitment|12</t>
  </si>
  <si>
    <t>HR|Travel|12</t>
  </si>
  <si>
    <t>Marketing|Payroll|12</t>
  </si>
  <si>
    <t>Marketing|Ad Spend|12</t>
  </si>
  <si>
    <t>Marketing|Events|12</t>
  </si>
  <si>
    <t>Marketing|Travel|12</t>
  </si>
  <si>
    <t>IT|Payroll|12</t>
  </si>
  <si>
    <t>IT|Software Licenses|12</t>
  </si>
  <si>
    <t>IT|Hardware|12</t>
  </si>
  <si>
    <t>IT|Cloud Services|12</t>
  </si>
  <si>
    <t>Operations|Payroll|12</t>
  </si>
  <si>
    <t>Operations|Logistics|12</t>
  </si>
  <si>
    <t>Operations|Maintenance|12</t>
  </si>
  <si>
    <t>Operations|Travel|12</t>
  </si>
  <si>
    <t>Finance|Payroll|12</t>
  </si>
  <si>
    <t>Finance|Audit Fees|12</t>
  </si>
  <si>
    <t>Finance|Software Licenses|12</t>
  </si>
  <si>
    <t>Finance|Training|12</t>
  </si>
  <si>
    <t>Sales|Payroll|12</t>
  </si>
  <si>
    <t>Sales|Commissions|12</t>
  </si>
  <si>
    <t>Sales|Travel|12</t>
  </si>
  <si>
    <t>Sales|Entertainment|12</t>
  </si>
  <si>
    <t>BUDGET vs. ACTUAL — VARIANCE TRACKER  |  FY 2024</t>
  </si>
  <si>
    <t>Source: Raw_Actuals Sheet  |  Budget Reference: Budget_Table Sheet  |  Formulas: XLOOKUP · SUMIFS · Conditional Formatting</t>
  </si>
  <si>
    <t>Actual (INR)</t>
  </si>
  <si>
    <t>Variance (INR)</t>
  </si>
  <si>
    <t>Variance %</t>
  </si>
  <si>
    <t>Status</t>
  </si>
  <si>
    <t>📋  PROJECT GUIDE — Budget vs. Actual Variance Tracker</t>
  </si>
  <si>
    <t>🗂️  SHEET STRUCTURE</t>
  </si>
  <si>
    <t>Raw_Actuals</t>
  </si>
  <si>
    <t>200+ rows of transaction-level spending data across 6 departments, 12 months. This is your 'messy' source data.</t>
  </si>
  <si>
    <t>Budget_Table</t>
  </si>
  <si>
    <t>Master budget lookup table. Contains one row per Dept + Category + Month. Used as the XLOOKUP source range.</t>
  </si>
  <si>
    <t>Variance_Tracker</t>
  </si>
  <si>
    <t>The main analysis sheet. Pulls budget via XLOOKUP, calculates actuals via SUMIFS, computes variance, and applies conditional formatting.</t>
  </si>
  <si>
    <t>📐  FORMULAS USED</t>
  </si>
  <si>
    <t>XLOOKUP</t>
  </si>
  <si>
    <t xml:space="preserve">  =IFERROR(xlookup(A5, Budget_Table!$A:$A, Budget_Table!$H:$H, "Not Found"), 0)  →  Looks up monthly budget using a Dept|Category|Month key</t>
  </si>
  <si>
    <t>SUMIFS</t>
  </si>
  <si>
    <t xml:space="preserve">  =SUMIFS(Raw_Actuals!$H:$H, Raw_Actuals!$E:$E, B5, Raw_Actuals!$F:$F, C5, Raw_Actuals!$B:$B, D5)  →  Sums actual spend matching Dept + Category + Month</t>
  </si>
  <si>
    <t>Variance</t>
  </si>
  <si>
    <t xml:space="preserve">  =actual - budget  (negative = underspend, positive = overspend)</t>
  </si>
  <si>
    <t xml:space="preserve">  =variance / budget  (formatted as %)</t>
  </si>
  <si>
    <t>Status Logic</t>
  </si>
  <si>
    <t>🎨  CONDITIONAL FORMATTING RULES</t>
  </si>
  <si>
    <t>🔴 Red (Over Budget)</t>
  </si>
  <si>
    <t>Variance % &gt; 15%  →  Red fill + bold text  →  Needs dept head review</t>
  </si>
  <si>
    <t>🟢 Green (On Track)</t>
  </si>
  <si>
    <t>-10% to +15%  →  Green fill  →  Within acceptable variance band</t>
  </si>
  <si>
    <t>🟡 Yellow (Under Budget)</t>
  </si>
  <si>
    <t>Variance % &lt; -10%  →  Yellow fill  →  Check if spend was deferred</t>
  </si>
  <si>
    <t>Data Bars</t>
  </si>
  <si>
    <t>Applied to Actual (INR) column to visually compare spend magnitudes</t>
  </si>
  <si>
    <t>📊  NEXT STEPS — BUILD YOUR DASHBOARD</t>
  </si>
  <si>
    <t>Step 1</t>
  </si>
  <si>
    <t>Insert a Pivot Table from Variance_Tracker → Rows: Department, Columns: Quarter, Values: Variance (INR)</t>
  </si>
  <si>
    <t>Step 2</t>
  </si>
  <si>
    <t>Add slicers for Department, Quarter, and Status</t>
  </si>
  <si>
    <t>Step 3</t>
  </si>
  <si>
    <t>Insert a clustered bar chart: Budget vs Actual by Department</t>
  </si>
  <si>
    <t>Step 4</t>
  </si>
  <si>
    <t>Insert a waterfall chart of Variance (INR) by Department</t>
  </si>
  <si>
    <t>Step 5</t>
  </si>
  <si>
    <t>Add KPI summary cells: Total Budget, Total Actual, Total Variance, Variance %</t>
  </si>
  <si>
    <t>Step 6</t>
  </si>
  <si>
    <t>Apply a clean dark theme to the dashboard sheet</t>
  </si>
  <si>
    <t>💡  KEY INSIGHTS TO LOOK FOR</t>
  </si>
  <si>
    <t>Insight 1</t>
  </si>
  <si>
    <t>Which department consistently overspends across all quarters?</t>
  </si>
  <si>
    <t>Insight 2</t>
  </si>
  <si>
    <t>Which expense category has the highest single-month variance?</t>
  </si>
  <si>
    <t>Insight 3</t>
  </si>
  <si>
    <t>Are there seasonal patterns in overspend (e.g., Q4 hardware spikes)?</t>
  </si>
  <si>
    <t>Insight 4</t>
  </si>
  <si>
    <t>Which department has the best budget discipline (least variance)?</t>
  </si>
  <si>
    <t>Insight 5</t>
  </si>
  <si>
    <t>Do certain vendors appear repeatedly in the high-overspend transactions?</t>
  </si>
  <si>
    <t>Actual_Budget</t>
  </si>
  <si>
    <t>📊  BUDGET vs. ACTUAL — EXECUTIVE DASHBOARD  |  FY 2024</t>
  </si>
  <si>
    <t>Source: Variance_Tracker  |  Drill into Department, Quarter, Status</t>
  </si>
  <si>
    <t>TOTAL BUDGET</t>
  </si>
  <si>
    <t>TOTAL ACTUAL</t>
  </si>
  <si>
    <t>TOTAL VARIANCE</t>
  </si>
  <si>
    <t>VARIANCE %</t>
  </si>
  <si>
    <t>Row Labels</t>
  </si>
  <si>
    <t>Grand Total</t>
  </si>
  <si>
    <t>Column Labels</t>
  </si>
  <si>
    <t>📈  VARIANCE BY DEPARTMENT × QUARTER (INR)</t>
  </si>
  <si>
    <t>Budget</t>
  </si>
  <si>
    <t>Actual</t>
  </si>
  <si>
    <t>📊  DEPARTMENT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</si>
</sst>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quot;(₹&quot;#,##0\);\-"/>
    <numFmt numFmtId="166" formatCode="0.0%;\(0.0%\);\-"/>
    <numFmt numFmtId="167" formatCode="\₹#,##0;\(\₹#,##0\)"/>
    <numFmt numFmtId="168" formatCode="0.0%"/>
  </numFmts>
  <fonts count="24" x14ac:knownFonts="1">
    <font>
      <sz val="11"/>
      <color theme="1"/>
      <name val="Calibri"/>
      <family val="2"/>
      <charset val="1"/>
    </font>
    <font>
      <sz val="10"/>
      <name val="Arial"/>
      <family val="2"/>
    </font>
    <font>
      <b/>
      <sz val="11"/>
      <color rgb="FFFFFFFF"/>
      <name val="Arial"/>
      <family val="2"/>
    </font>
    <font>
      <sz val="10"/>
      <color rgb="FF000000"/>
      <name val="Arial"/>
      <family val="2"/>
    </font>
    <font>
      <b/>
      <sz val="16"/>
      <color rgb="FFFFFFFF"/>
      <name val="Arial"/>
      <family val="2"/>
    </font>
    <font>
      <i/>
      <sz val="9"/>
      <color rgb="FF2E5FA3"/>
      <name val="Arial"/>
      <family val="2"/>
    </font>
    <font>
      <b/>
      <sz val="10"/>
      <color rgb="FFFFFFFF"/>
      <name val="Arial"/>
      <family val="2"/>
    </font>
    <font>
      <sz val="9"/>
      <color rgb="FF000000"/>
      <name val="Arial"/>
      <family val="2"/>
    </font>
    <font>
      <b/>
      <sz val="14"/>
      <color rgb="FFFFFFFF"/>
      <name val="Arial"/>
      <family val="2"/>
    </font>
    <font>
      <b/>
      <sz val="10"/>
      <color rgb="FF1F3864"/>
      <name val="Arial"/>
      <family val="2"/>
    </font>
    <font>
      <sz val="10"/>
      <name val="Arial"/>
      <family val="2"/>
    </font>
    <font>
      <sz val="11"/>
      <color rgb="FFFFFFFF"/>
      <name val="Arial"/>
      <family val="2"/>
    </font>
    <font>
      <b/>
      <sz val="11"/>
      <color rgb="FF1A1A2E"/>
      <name val="Arial"/>
      <family val="2"/>
    </font>
    <font>
      <sz val="11"/>
      <color rgb="FF1A1A2E"/>
      <name val="Calibri"/>
      <family val="2"/>
      <charset val="1"/>
    </font>
    <font>
      <b/>
      <sz val="18"/>
      <color theme="0"/>
      <name val="Calibri"/>
      <family val="2"/>
      <charset val="1"/>
    </font>
    <font>
      <sz val="11"/>
      <color theme="0"/>
      <name val="Calibri"/>
      <family val="2"/>
      <charset val="1"/>
    </font>
    <font>
      <i/>
      <sz val="11"/>
      <color theme="0"/>
      <name val="Calibri"/>
      <family val="2"/>
      <charset val="1"/>
    </font>
    <font>
      <sz val="11"/>
      <color theme="0"/>
      <name val="Arial"/>
      <family val="2"/>
    </font>
    <font>
      <b/>
      <sz val="10"/>
      <color theme="0"/>
      <name val="Arial"/>
      <family val="2"/>
    </font>
    <font>
      <b/>
      <sz val="18"/>
      <color theme="0"/>
      <name val="Arial"/>
      <family val="2"/>
    </font>
    <font>
      <b/>
      <sz val="12"/>
      <color theme="0"/>
      <name val="Calibri"/>
      <family val="2"/>
      <charset val="1"/>
    </font>
    <font>
      <sz val="11"/>
      <color theme="3" tint="-0.499984740745262"/>
      <name val="Arial"/>
      <family val="2"/>
    </font>
    <font>
      <b/>
      <sz val="11"/>
      <color theme="3" tint="-0.499984740745262"/>
      <name val="Arial"/>
      <family val="2"/>
    </font>
    <font>
      <b/>
      <sz val="12"/>
      <color theme="3" tint="-0.499984740745262"/>
      <name val="Calibri"/>
      <family val="2"/>
      <charset val="1"/>
    </font>
  </fonts>
  <fills count="11">
    <fill>
      <patternFill patternType="none"/>
    </fill>
    <fill>
      <patternFill patternType="gray125"/>
    </fill>
    <fill>
      <patternFill patternType="solid">
        <fgColor rgb="FF1F3864"/>
        <bgColor rgb="FF333333"/>
      </patternFill>
    </fill>
    <fill>
      <patternFill patternType="solid">
        <fgColor rgb="FFF2F2F2"/>
        <bgColor rgb="FFFEF9E7"/>
      </patternFill>
    </fill>
    <fill>
      <patternFill patternType="solid">
        <fgColor rgb="FF2E5FA3"/>
        <bgColor rgb="FF3366FF"/>
      </patternFill>
    </fill>
    <fill>
      <patternFill patternType="solid">
        <fgColor rgb="FFD6E4F7"/>
        <bgColor rgb="FFD5F5E3"/>
      </patternFill>
    </fill>
    <fill>
      <patternFill patternType="solid">
        <fgColor rgb="FFFFFFFF"/>
        <bgColor rgb="FFFEF9E7"/>
      </patternFill>
    </fill>
    <fill>
      <patternFill patternType="solid">
        <fgColor rgb="FF1A1A2E"/>
        <bgColor indexed="64"/>
      </patternFill>
    </fill>
    <fill>
      <patternFill patternType="solid">
        <fgColor rgb="FF0F1729"/>
        <bgColor indexed="64"/>
      </patternFill>
    </fill>
    <fill>
      <patternFill patternType="solid">
        <fgColor rgb="FF16213E"/>
        <bgColor indexed="64"/>
      </patternFill>
    </fill>
    <fill>
      <patternFill patternType="solid">
        <fgColor rgb="FF27294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73">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164" fontId="3" fillId="3"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164" fontId="3" fillId="0" borderId="1" xfId="0" applyNumberFormat="1" applyFont="1" applyBorder="1" applyAlignment="1">
      <alignment horizontal="center" vertical="center"/>
    </xf>
    <xf numFmtId="0" fontId="2" fillId="4" borderId="1" xfId="0" applyFont="1" applyFill="1" applyBorder="1" applyAlignment="1">
      <alignment horizontal="center" vertical="center" wrapText="1"/>
    </xf>
    <xf numFmtId="0" fontId="7" fillId="6" borderId="1" xfId="0" applyFont="1" applyFill="1" applyBorder="1" applyAlignment="1">
      <alignment horizontal="center" vertical="center"/>
    </xf>
    <xf numFmtId="164" fontId="7" fillId="6" borderId="1" xfId="0" applyNumberFormat="1" applyFont="1" applyFill="1" applyBorder="1" applyAlignment="1">
      <alignment horizontal="center" vertical="center"/>
    </xf>
    <xf numFmtId="165" fontId="7" fillId="6" borderId="1" xfId="0" applyNumberFormat="1" applyFont="1" applyFill="1" applyBorder="1" applyAlignment="1">
      <alignment horizontal="center" vertical="center"/>
    </xf>
    <xf numFmtId="166" fontId="7" fillId="6" borderId="1" xfId="0" applyNumberFormat="1" applyFont="1" applyFill="1" applyBorder="1" applyAlignment="1">
      <alignment horizontal="center" vertical="center"/>
    </xf>
    <xf numFmtId="0" fontId="7" fillId="6" borderId="1" xfId="0" applyFont="1" applyFill="1" applyBorder="1" applyAlignment="1">
      <alignment horizontal="left" vertical="center"/>
    </xf>
    <xf numFmtId="0" fontId="7" fillId="3" borderId="1" xfId="0" applyFont="1" applyFill="1" applyBorder="1" applyAlignment="1">
      <alignment horizontal="center" vertical="center"/>
    </xf>
    <xf numFmtId="164" fontId="7" fillId="3" borderId="1" xfId="0" applyNumberFormat="1" applyFont="1" applyFill="1" applyBorder="1" applyAlignment="1">
      <alignment horizontal="center" vertical="center"/>
    </xf>
    <xf numFmtId="165" fontId="7" fillId="3" borderId="1" xfId="0" applyNumberFormat="1" applyFont="1" applyFill="1" applyBorder="1" applyAlignment="1">
      <alignment horizontal="center" vertical="center"/>
    </xf>
    <xf numFmtId="166" fontId="7" fillId="3" borderId="1" xfId="0" applyNumberFormat="1" applyFont="1" applyFill="1" applyBorder="1" applyAlignment="1">
      <alignment horizontal="center" vertical="center"/>
    </xf>
    <xf numFmtId="0" fontId="7" fillId="3" borderId="1" xfId="0" applyFont="1" applyFill="1" applyBorder="1" applyAlignment="1">
      <alignment horizontal="left" vertical="center"/>
    </xf>
    <xf numFmtId="0" fontId="9" fillId="3" borderId="1" xfId="0" applyFont="1" applyFill="1" applyBorder="1" applyAlignment="1">
      <alignment horizontal="left" vertical="center" indent="1"/>
    </xf>
    <xf numFmtId="0" fontId="9" fillId="6" borderId="1" xfId="0" applyFont="1" applyFill="1" applyBorder="1" applyAlignment="1">
      <alignment horizontal="left" vertical="center" indent="1"/>
    </xf>
    <xf numFmtId="0" fontId="2" fillId="2" borderId="3" xfId="0" applyFont="1" applyFill="1" applyBorder="1" applyAlignment="1">
      <alignment horizontal="left" vertical="center" wrapText="1"/>
    </xf>
    <xf numFmtId="0" fontId="0" fillId="0" borderId="0" xfId="0" applyAlignment="1">
      <alignment horizontal="left"/>
    </xf>
    <xf numFmtId="164" fontId="0" fillId="0" borderId="0" xfId="0" applyNumberFormat="1"/>
    <xf numFmtId="0" fontId="2" fillId="4" borderId="3" xfId="0" applyFont="1" applyFill="1" applyBorder="1" applyAlignment="1">
      <alignment horizontal="center" vertical="center" wrapText="1"/>
    </xf>
    <xf numFmtId="0" fontId="11" fillId="7" borderId="0" xfId="0" applyFont="1" applyFill="1"/>
    <xf numFmtId="0" fontId="7" fillId="6" borderId="4" xfId="0" applyFont="1" applyFill="1" applyBorder="1" applyAlignment="1">
      <alignment horizontal="center" vertical="center"/>
    </xf>
    <xf numFmtId="0" fontId="7" fillId="3" borderId="4" xfId="0" applyFont="1" applyFill="1" applyBorder="1" applyAlignment="1">
      <alignment horizontal="center" vertical="center"/>
    </xf>
    <xf numFmtId="0" fontId="7" fillId="6" borderId="2" xfId="0" applyFont="1" applyFill="1" applyBorder="1" applyAlignment="1">
      <alignment horizontal="left" vertical="center"/>
    </xf>
    <xf numFmtId="0" fontId="7" fillId="3" borderId="2"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7" fillId="3" borderId="8" xfId="0" applyFont="1" applyFill="1" applyBorder="1" applyAlignment="1">
      <alignment horizontal="center" vertical="center"/>
    </xf>
    <xf numFmtId="0" fontId="7" fillId="3" borderId="9" xfId="0" applyFont="1" applyFill="1" applyBorder="1" applyAlignment="1">
      <alignment horizontal="center" vertical="center"/>
    </xf>
    <xf numFmtId="164" fontId="3" fillId="0" borderId="9" xfId="0" applyNumberFormat="1" applyFont="1" applyBorder="1" applyAlignment="1">
      <alignment horizontal="center" vertical="center"/>
    </xf>
    <xf numFmtId="164" fontId="7" fillId="3" borderId="9" xfId="0" applyNumberFormat="1" applyFont="1" applyFill="1" applyBorder="1" applyAlignment="1">
      <alignment horizontal="center" vertical="center"/>
    </xf>
    <xf numFmtId="165" fontId="7" fillId="3" borderId="9" xfId="0" applyNumberFormat="1" applyFont="1" applyFill="1" applyBorder="1" applyAlignment="1">
      <alignment horizontal="center" vertical="center"/>
    </xf>
    <xf numFmtId="166" fontId="7" fillId="3" borderId="9" xfId="0" applyNumberFormat="1" applyFont="1" applyFill="1" applyBorder="1" applyAlignment="1">
      <alignment horizontal="center" vertical="center"/>
    </xf>
    <xf numFmtId="0" fontId="7" fillId="3" borderId="9" xfId="0" applyFont="1" applyFill="1" applyBorder="1" applyAlignment="1">
      <alignment horizontal="left" vertical="center"/>
    </xf>
    <xf numFmtId="0" fontId="7" fillId="3" borderId="10" xfId="0" applyFont="1" applyFill="1" applyBorder="1" applyAlignment="1">
      <alignment horizontal="left" vertical="center"/>
    </xf>
    <xf numFmtId="0" fontId="4" fillId="2" borderId="0" xfId="0" applyFont="1" applyFill="1" applyAlignment="1">
      <alignment horizontal="center" vertical="center"/>
    </xf>
    <xf numFmtId="0" fontId="5" fillId="5" borderId="0" xfId="0" applyFont="1" applyFill="1" applyAlignment="1">
      <alignment horizontal="center" vertical="center"/>
    </xf>
    <xf numFmtId="0" fontId="10" fillId="6" borderId="2" xfId="0" applyFont="1" applyFill="1" applyBorder="1" applyAlignment="1">
      <alignment horizontal="left" vertical="center" wrapText="1" indent="1"/>
    </xf>
    <xf numFmtId="0" fontId="10" fillId="3" borderId="2" xfId="0" applyFont="1" applyFill="1" applyBorder="1" applyAlignment="1">
      <alignment horizontal="left" vertical="center" wrapText="1" indent="1"/>
    </xf>
    <xf numFmtId="0" fontId="2" fillId="4" borderId="0" xfId="0" applyFont="1" applyFill="1" applyAlignment="1">
      <alignment horizontal="left" vertical="center" indent="1"/>
    </xf>
    <xf numFmtId="0" fontId="1" fillId="3" borderId="2" xfId="0" applyFont="1" applyFill="1" applyBorder="1" applyAlignment="1">
      <alignment horizontal="left" vertical="center" wrapText="1" indent="1"/>
    </xf>
    <xf numFmtId="0" fontId="8" fillId="2" borderId="0" xfId="0" applyFont="1" applyFill="1" applyAlignment="1">
      <alignment horizontal="center" vertical="center"/>
    </xf>
    <xf numFmtId="0" fontId="14" fillId="8" borderId="0" xfId="0" applyFont="1" applyFill="1" applyAlignment="1">
      <alignment horizontal="center" vertical="center"/>
    </xf>
    <xf numFmtId="0" fontId="15" fillId="0" borderId="0" xfId="0" applyFont="1"/>
    <xf numFmtId="0" fontId="16" fillId="7" borderId="0" xfId="0" applyFont="1" applyFill="1" applyAlignment="1">
      <alignment horizontal="center"/>
    </xf>
    <xf numFmtId="0" fontId="17" fillId="7" borderId="0" xfId="0" applyFont="1" applyFill="1"/>
    <xf numFmtId="0" fontId="18" fillId="9" borderId="0" xfId="0" applyFont="1" applyFill="1" applyAlignment="1">
      <alignment horizontal="center"/>
    </xf>
    <xf numFmtId="164" fontId="19" fillId="9" borderId="0" xfId="0" applyNumberFormat="1" applyFont="1" applyFill="1" applyAlignment="1">
      <alignment horizontal="center"/>
    </xf>
    <xf numFmtId="167" fontId="19" fillId="9" borderId="0" xfId="0" applyNumberFormat="1" applyFont="1" applyFill="1" applyAlignment="1">
      <alignment horizontal="center"/>
    </xf>
    <xf numFmtId="168" fontId="19" fillId="9" borderId="0" xfId="0" applyNumberFormat="1" applyFont="1" applyFill="1" applyAlignment="1">
      <alignment horizontal="center"/>
    </xf>
    <xf numFmtId="0" fontId="20" fillId="8" borderId="0" xfId="0" applyFont="1" applyFill="1" applyAlignment="1">
      <alignment horizontal="left"/>
    </xf>
    <xf numFmtId="0" fontId="15" fillId="9" borderId="0" xfId="0" applyFont="1" applyFill="1"/>
    <xf numFmtId="0" fontId="17" fillId="9" borderId="0" xfId="0" applyFont="1" applyFill="1"/>
    <xf numFmtId="0" fontId="15" fillId="9" borderId="0" xfId="0" applyFont="1" applyFill="1" applyAlignment="1">
      <alignment horizontal="left"/>
    </xf>
    <xf numFmtId="167" fontId="15" fillId="9" borderId="0" xfId="0" applyNumberFormat="1" applyFont="1" applyFill="1"/>
    <xf numFmtId="0" fontId="15" fillId="0" borderId="0" xfId="0" applyFont="1"/>
    <xf numFmtId="0" fontId="21" fillId="7" borderId="0" xfId="0" applyFont="1" applyFill="1"/>
    <xf numFmtId="0" fontId="22" fillId="7" borderId="0" xfId="0" applyFont="1" applyFill="1" applyAlignment="1">
      <alignment horizontal="center"/>
    </xf>
    <xf numFmtId="164" fontId="21" fillId="7" borderId="0" xfId="0" applyNumberFormat="1" applyFont="1" applyFill="1"/>
    <xf numFmtId="167" fontId="21" fillId="7" borderId="0" xfId="0" applyNumberFormat="1" applyFont="1" applyFill="1"/>
    <xf numFmtId="0" fontId="23" fillId="8" borderId="0" xfId="0" applyFont="1" applyFill="1" applyAlignment="1">
      <alignment horizontal="center"/>
    </xf>
    <xf numFmtId="0" fontId="0" fillId="10" borderId="0" xfId="0" applyFill="1"/>
    <xf numFmtId="0" fontId="12" fillId="10" borderId="0" xfId="0" applyFont="1" applyFill="1" applyAlignment="1">
      <alignment horizontal="center"/>
    </xf>
    <xf numFmtId="0" fontId="13" fillId="10" borderId="0" xfId="0" applyFont="1" applyFill="1"/>
    <xf numFmtId="167" fontId="13" fillId="10" borderId="0" xfId="0" applyNumberFormat="1" applyFont="1" applyFill="1"/>
  </cellXfs>
  <cellStyles count="1">
    <cellStyle name="Normal" xfId="0" builtinId="0"/>
  </cellStyles>
  <dxfs count="43">
    <dxf>
      <font>
        <b/>
        <sz val="9"/>
        <color rgb="FFB7950B"/>
        <name val="Arial"/>
        <charset val="1"/>
      </font>
      <fill>
        <patternFill>
          <bgColor rgb="FFFEF9E7"/>
        </patternFill>
      </fill>
    </dxf>
    <dxf>
      <font>
        <sz val="9"/>
        <color rgb="FF1E8449"/>
        <name val="Arial"/>
        <charset val="1"/>
      </font>
      <fill>
        <patternFill>
          <bgColor rgb="FFD5F5E3"/>
        </patternFill>
      </fill>
    </dxf>
    <dxf>
      <font>
        <b/>
        <sz val="9"/>
        <color rgb="FFC0392B"/>
        <name val="Arial"/>
        <charset val="1"/>
      </font>
      <fill>
        <patternFill>
          <bgColor rgb="FFFADBD8"/>
        </patternFill>
      </fill>
    </dxf>
    <dxf>
      <font>
        <b/>
        <i val="0"/>
        <color rgb="FF9C5700"/>
      </font>
      <fill>
        <patternFill patternType="solid">
          <fgColor indexed="64"/>
          <bgColor rgb="FFFFEB9C"/>
        </patternFill>
      </fill>
    </dxf>
    <dxf>
      <font>
        <b/>
        <i val="0"/>
        <color rgb="FF9C0006"/>
      </font>
      <fill>
        <patternFill patternType="solid">
          <fgColor indexed="64"/>
          <bgColor rgb="FFF8CBAD"/>
        </patternFill>
      </fill>
    </dxf>
    <dxf>
      <font>
        <b/>
        <i val="0"/>
        <color rgb="FF006100"/>
      </font>
      <fill>
        <patternFill patternType="solid">
          <fgColor indexed="64"/>
          <bgColor rgb="FFC6EF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ill>
        <patternFill patternType="solid">
          <fgColor indexed="64"/>
          <bgColor rgb="FF16213E"/>
        </patternFill>
      </fill>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numFmt numFmtId="166" formatCode="0.0%;\(0.0%\);\-"/>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numFmt numFmtId="165" formatCode="\₹#,##0;&quot;(₹&quot;#,##0\);\-"/>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numFmt numFmtId="164" formatCode="\₹#,##0"/>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numFmt numFmtId="164"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9"/>
        <color rgb="FF000000"/>
        <name val="Arial"/>
        <family val="2"/>
        <scheme val="none"/>
      </font>
      <fill>
        <patternFill patternType="solid">
          <fgColor rgb="FFFEF9E7"/>
          <bgColor rgb="FFF2F2F2"/>
        </patternFill>
      </fill>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0"/>
        <color rgb="FFFFFFFF"/>
        <name val="Arial"/>
        <family val="2"/>
        <scheme val="none"/>
      </font>
      <fill>
        <patternFill patternType="solid">
          <fgColor rgb="FF3366FF"/>
          <bgColor rgb="FF2E5FA3"/>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B7950B"/>
      <rgbColor rgb="FF800080"/>
      <rgbColor rgb="FF008080"/>
      <rgbColor rgb="FFC0C0C0"/>
      <rgbColor rgb="FF808080"/>
      <rgbColor rgb="FF9999FF"/>
      <rgbColor rgb="FF993366"/>
      <rgbColor rgb="FFFEF9E7"/>
      <rgbColor rgb="FFF2F2F2"/>
      <rgbColor rgb="FF660066"/>
      <rgbColor rgb="FFFF8080"/>
      <rgbColor rgb="FF2E5FA3"/>
      <rgbColor rgb="FFD6E4F7"/>
      <rgbColor rgb="FF000080"/>
      <rgbColor rgb="FFFF00FF"/>
      <rgbColor rgb="FFFFFF00"/>
      <rgbColor rgb="FF00FFFF"/>
      <rgbColor rgb="FF800080"/>
      <rgbColor rgb="FF800000"/>
      <rgbColor rgb="FF008080"/>
      <rgbColor rgb="FF0000FF"/>
      <rgbColor rgb="FF00CCFF"/>
      <rgbColor rgb="FFCCFFFF"/>
      <rgbColor rgb="FFD5F5E3"/>
      <rgbColor rgb="FFFFFF99"/>
      <rgbColor rgb="FF99CCFF"/>
      <rgbColor rgb="FFFF99CC"/>
      <rgbColor rgb="FFCC99FF"/>
      <rgbColor rgb="FFFADBD8"/>
      <rgbColor rgb="FF3366FF"/>
      <rgbColor rgb="FF33CCCC"/>
      <rgbColor rgb="FF99CC00"/>
      <rgbColor rgb="FFFFCC00"/>
      <rgbColor rgb="FFFF9900"/>
      <rgbColor rgb="FFFF6600"/>
      <rgbColor rgb="FF666699"/>
      <rgbColor rgb="FF969696"/>
      <rgbColor rgb="FF1F3864"/>
      <rgbColor rgb="FF1E8449"/>
      <rgbColor rgb="FF003300"/>
      <rgbColor rgb="FF333300"/>
      <rgbColor rgb="FFC0392B"/>
      <rgbColor rgb="FF993366"/>
      <rgbColor rgb="FF333399"/>
      <rgbColor rgb="FF333333"/>
      <rgbColor rgb="00003366"/>
      <rgbColor rgb="00339966"/>
      <rgbColor rgb="00003300"/>
      <rgbColor rgb="00333300"/>
      <rgbColor rgb="00993300"/>
      <rgbColor rgb="00993366"/>
      <rgbColor rgb="00333399"/>
      <rgbColor rgb="00333333"/>
    </indexedColors>
    <mruColors>
      <color rgb="FFD14233"/>
      <color rgb="FF272945"/>
      <color rgb="FF33365B"/>
      <color rgb="FF4B4F85"/>
      <color rgb="FF002B82"/>
      <color rgb="FF342E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Variance_Tracker!$H$4</c:f>
              <c:strCache>
                <c:ptCount val="1"/>
                <c:pt idx="0">
                  <c:v>Actual (INR)</c:v>
                </c:pt>
              </c:strCache>
            </c:strRef>
          </c:tx>
          <c:spPr>
            <a:solidFill>
              <a:schemeClr val="accent1"/>
            </a:solidFill>
            <a:ln>
              <a:noFill/>
            </a:ln>
            <a:effectLst/>
          </c:spPr>
          <c:invertIfNegative val="0"/>
          <c:val>
            <c:numRef>
              <c:f>Variance_Tracker!$H$5:$H$292</c:f>
              <c:numCache>
                <c:formatCode>\₹#,##0</c:formatCode>
                <c:ptCount val="288"/>
                <c:pt idx="0">
                  <c:v>437600</c:v>
                </c:pt>
                <c:pt idx="1">
                  <c:v>31200</c:v>
                </c:pt>
                <c:pt idx="2">
                  <c:v>56500</c:v>
                </c:pt>
                <c:pt idx="3">
                  <c:v>18000</c:v>
                </c:pt>
                <c:pt idx="4">
                  <c:v>402900</c:v>
                </c:pt>
                <c:pt idx="5">
                  <c:v>146600</c:v>
                </c:pt>
                <c:pt idx="6">
                  <c:v>67400</c:v>
                </c:pt>
                <c:pt idx="7">
                  <c:v>25300</c:v>
                </c:pt>
                <c:pt idx="8">
                  <c:v>511600</c:v>
                </c:pt>
                <c:pt idx="9">
                  <c:v>84000</c:v>
                </c:pt>
                <c:pt idx="10">
                  <c:v>83600</c:v>
                </c:pt>
                <c:pt idx="11">
                  <c:v>116300</c:v>
                </c:pt>
                <c:pt idx="12">
                  <c:v>383800</c:v>
                </c:pt>
                <c:pt idx="13">
                  <c:v>38900</c:v>
                </c:pt>
                <c:pt idx="14">
                  <c:v>40100</c:v>
                </c:pt>
                <c:pt idx="15">
                  <c:v>23000</c:v>
                </c:pt>
                <c:pt idx="16">
                  <c:v>321400</c:v>
                </c:pt>
                <c:pt idx="17">
                  <c:v>41200</c:v>
                </c:pt>
                <c:pt idx="18">
                  <c:v>33200</c:v>
                </c:pt>
                <c:pt idx="19">
                  <c:v>16800</c:v>
                </c:pt>
                <c:pt idx="20">
                  <c:v>404300</c:v>
                </c:pt>
                <c:pt idx="21">
                  <c:v>187900</c:v>
                </c:pt>
                <c:pt idx="22">
                  <c:v>56600</c:v>
                </c:pt>
                <c:pt idx="23">
                  <c:v>27800</c:v>
                </c:pt>
                <c:pt idx="24">
                  <c:v>440100</c:v>
                </c:pt>
                <c:pt idx="25">
                  <c:v>31900</c:v>
                </c:pt>
                <c:pt idx="26">
                  <c:v>54200</c:v>
                </c:pt>
                <c:pt idx="27">
                  <c:v>18500</c:v>
                </c:pt>
                <c:pt idx="28">
                  <c:v>403700</c:v>
                </c:pt>
                <c:pt idx="29">
                  <c:v>130700</c:v>
                </c:pt>
                <c:pt idx="30">
                  <c:v>70900</c:v>
                </c:pt>
                <c:pt idx="31">
                  <c:v>21900</c:v>
                </c:pt>
                <c:pt idx="32">
                  <c:v>523000</c:v>
                </c:pt>
                <c:pt idx="33">
                  <c:v>91000</c:v>
                </c:pt>
                <c:pt idx="34">
                  <c:v>74000</c:v>
                </c:pt>
                <c:pt idx="35">
                  <c:v>95300</c:v>
                </c:pt>
                <c:pt idx="36">
                  <c:v>348100</c:v>
                </c:pt>
                <c:pt idx="37">
                  <c:v>42000</c:v>
                </c:pt>
                <c:pt idx="38">
                  <c:v>47900</c:v>
                </c:pt>
                <c:pt idx="39">
                  <c:v>20500</c:v>
                </c:pt>
                <c:pt idx="40">
                  <c:v>251400</c:v>
                </c:pt>
                <c:pt idx="41">
                  <c:v>45300</c:v>
                </c:pt>
                <c:pt idx="42">
                  <c:v>30300</c:v>
                </c:pt>
                <c:pt idx="43">
                  <c:v>13300</c:v>
                </c:pt>
                <c:pt idx="44">
                  <c:v>471300</c:v>
                </c:pt>
                <c:pt idx="45">
                  <c:v>185900</c:v>
                </c:pt>
                <c:pt idx="46">
                  <c:v>54000</c:v>
                </c:pt>
                <c:pt idx="47">
                  <c:v>32800</c:v>
                </c:pt>
                <c:pt idx="48">
                  <c:v>469200</c:v>
                </c:pt>
                <c:pt idx="49">
                  <c:v>36400</c:v>
                </c:pt>
                <c:pt idx="50">
                  <c:v>53800</c:v>
                </c:pt>
                <c:pt idx="51">
                  <c:v>16200</c:v>
                </c:pt>
                <c:pt idx="52">
                  <c:v>430800</c:v>
                </c:pt>
                <c:pt idx="53">
                  <c:v>133200</c:v>
                </c:pt>
                <c:pt idx="54">
                  <c:v>73900</c:v>
                </c:pt>
                <c:pt idx="55">
                  <c:v>28200</c:v>
                </c:pt>
                <c:pt idx="56">
                  <c:v>428700</c:v>
                </c:pt>
                <c:pt idx="57">
                  <c:v>80700</c:v>
                </c:pt>
                <c:pt idx="58">
                  <c:v>75300</c:v>
                </c:pt>
                <c:pt idx="59">
                  <c:v>106600</c:v>
                </c:pt>
                <c:pt idx="60">
                  <c:v>351000</c:v>
                </c:pt>
                <c:pt idx="61">
                  <c:v>68300</c:v>
                </c:pt>
                <c:pt idx="62">
                  <c:v>44100</c:v>
                </c:pt>
                <c:pt idx="63">
                  <c:v>20100</c:v>
                </c:pt>
                <c:pt idx="64">
                  <c:v>329100</c:v>
                </c:pt>
                <c:pt idx="65">
                  <c:v>72000</c:v>
                </c:pt>
                <c:pt idx="66">
                  <c:v>34000</c:v>
                </c:pt>
                <c:pt idx="67">
                  <c:v>14000</c:v>
                </c:pt>
                <c:pt idx="68">
                  <c:v>402800</c:v>
                </c:pt>
                <c:pt idx="69">
                  <c:v>209500</c:v>
                </c:pt>
                <c:pt idx="70">
                  <c:v>57900</c:v>
                </c:pt>
                <c:pt idx="71">
                  <c:v>25900</c:v>
                </c:pt>
                <c:pt idx="72">
                  <c:v>429600</c:v>
                </c:pt>
                <c:pt idx="73">
                  <c:v>38000</c:v>
                </c:pt>
                <c:pt idx="74">
                  <c:v>54500</c:v>
                </c:pt>
                <c:pt idx="75">
                  <c:v>18500</c:v>
                </c:pt>
                <c:pt idx="76">
                  <c:v>373800</c:v>
                </c:pt>
                <c:pt idx="77">
                  <c:v>217500</c:v>
                </c:pt>
                <c:pt idx="78">
                  <c:v>69600</c:v>
                </c:pt>
                <c:pt idx="79">
                  <c:v>23400</c:v>
                </c:pt>
                <c:pt idx="80">
                  <c:v>459700</c:v>
                </c:pt>
                <c:pt idx="81">
                  <c:v>78100</c:v>
                </c:pt>
                <c:pt idx="82">
                  <c:v>77100</c:v>
                </c:pt>
                <c:pt idx="83">
                  <c:v>121700</c:v>
                </c:pt>
                <c:pt idx="84">
                  <c:v>320500</c:v>
                </c:pt>
                <c:pt idx="85">
                  <c:v>64000</c:v>
                </c:pt>
                <c:pt idx="86">
                  <c:v>46200</c:v>
                </c:pt>
                <c:pt idx="87">
                  <c:v>19300</c:v>
                </c:pt>
                <c:pt idx="88">
                  <c:v>270700</c:v>
                </c:pt>
                <c:pt idx="89">
                  <c:v>34700</c:v>
                </c:pt>
                <c:pt idx="90">
                  <c:v>34100</c:v>
                </c:pt>
                <c:pt idx="91">
                  <c:v>13900</c:v>
                </c:pt>
                <c:pt idx="92">
                  <c:v>380100</c:v>
                </c:pt>
                <c:pt idx="93">
                  <c:v>216600</c:v>
                </c:pt>
                <c:pt idx="94">
                  <c:v>47200</c:v>
                </c:pt>
                <c:pt idx="95">
                  <c:v>27200</c:v>
                </c:pt>
                <c:pt idx="96">
                  <c:v>457300</c:v>
                </c:pt>
                <c:pt idx="97">
                  <c:v>33300</c:v>
                </c:pt>
                <c:pt idx="98">
                  <c:v>58400</c:v>
                </c:pt>
                <c:pt idx="99">
                  <c:v>19600</c:v>
                </c:pt>
                <c:pt idx="100">
                  <c:v>417700</c:v>
                </c:pt>
                <c:pt idx="101">
                  <c:v>207000</c:v>
                </c:pt>
                <c:pt idx="102">
                  <c:v>67000</c:v>
                </c:pt>
                <c:pt idx="103">
                  <c:v>21300</c:v>
                </c:pt>
                <c:pt idx="104">
                  <c:v>498300</c:v>
                </c:pt>
                <c:pt idx="105">
                  <c:v>89800</c:v>
                </c:pt>
                <c:pt idx="106">
                  <c:v>84600</c:v>
                </c:pt>
                <c:pt idx="107">
                  <c:v>107600</c:v>
                </c:pt>
                <c:pt idx="108">
                  <c:v>373200</c:v>
                </c:pt>
                <c:pt idx="109">
                  <c:v>54900</c:v>
                </c:pt>
                <c:pt idx="110">
                  <c:v>51500</c:v>
                </c:pt>
                <c:pt idx="111">
                  <c:v>18900</c:v>
                </c:pt>
                <c:pt idx="112">
                  <c:v>302000</c:v>
                </c:pt>
                <c:pt idx="113">
                  <c:v>39300</c:v>
                </c:pt>
                <c:pt idx="114">
                  <c:v>26500</c:v>
                </c:pt>
                <c:pt idx="115">
                  <c:v>15600</c:v>
                </c:pt>
                <c:pt idx="116">
                  <c:v>359000</c:v>
                </c:pt>
                <c:pt idx="117">
                  <c:v>205700</c:v>
                </c:pt>
                <c:pt idx="118">
                  <c:v>51800</c:v>
                </c:pt>
                <c:pt idx="119">
                  <c:v>31400</c:v>
                </c:pt>
                <c:pt idx="120">
                  <c:v>376700</c:v>
                </c:pt>
                <c:pt idx="121">
                  <c:v>32800</c:v>
                </c:pt>
                <c:pt idx="122">
                  <c:v>85300</c:v>
                </c:pt>
                <c:pt idx="123">
                  <c:v>16200</c:v>
                </c:pt>
                <c:pt idx="124">
                  <c:v>408400</c:v>
                </c:pt>
                <c:pt idx="125">
                  <c:v>150000</c:v>
                </c:pt>
                <c:pt idx="126">
                  <c:v>72200</c:v>
                </c:pt>
                <c:pt idx="127">
                  <c:v>25600</c:v>
                </c:pt>
                <c:pt idx="128">
                  <c:v>511400</c:v>
                </c:pt>
                <c:pt idx="129">
                  <c:v>101200</c:v>
                </c:pt>
                <c:pt idx="130">
                  <c:v>87500</c:v>
                </c:pt>
                <c:pt idx="131">
                  <c:v>104100</c:v>
                </c:pt>
                <c:pt idx="132">
                  <c:v>370400</c:v>
                </c:pt>
                <c:pt idx="133">
                  <c:v>52600</c:v>
                </c:pt>
                <c:pt idx="134">
                  <c:v>47200</c:v>
                </c:pt>
                <c:pt idx="135">
                  <c:v>21600</c:v>
                </c:pt>
                <c:pt idx="136">
                  <c:v>284600</c:v>
                </c:pt>
                <c:pt idx="137">
                  <c:v>40500</c:v>
                </c:pt>
                <c:pt idx="138">
                  <c:v>32900</c:v>
                </c:pt>
                <c:pt idx="139">
                  <c:v>16500</c:v>
                </c:pt>
                <c:pt idx="140">
                  <c:v>411000</c:v>
                </c:pt>
                <c:pt idx="141">
                  <c:v>190500</c:v>
                </c:pt>
                <c:pt idx="142">
                  <c:v>61100</c:v>
                </c:pt>
                <c:pt idx="143">
                  <c:v>29600</c:v>
                </c:pt>
                <c:pt idx="144">
                  <c:v>386500</c:v>
                </c:pt>
                <c:pt idx="145">
                  <c:v>40200</c:v>
                </c:pt>
                <c:pt idx="146">
                  <c:v>61200</c:v>
                </c:pt>
                <c:pt idx="147">
                  <c:v>17500</c:v>
                </c:pt>
                <c:pt idx="148">
                  <c:v>368300</c:v>
                </c:pt>
                <c:pt idx="149">
                  <c:v>144600</c:v>
                </c:pt>
                <c:pt idx="150">
                  <c:v>72400</c:v>
                </c:pt>
                <c:pt idx="151">
                  <c:v>26900</c:v>
                </c:pt>
                <c:pt idx="152">
                  <c:v>450000</c:v>
                </c:pt>
                <c:pt idx="153">
                  <c:v>86700</c:v>
                </c:pt>
                <c:pt idx="154">
                  <c:v>84300</c:v>
                </c:pt>
                <c:pt idx="155">
                  <c:v>122200</c:v>
                </c:pt>
                <c:pt idx="156">
                  <c:v>345800</c:v>
                </c:pt>
                <c:pt idx="157">
                  <c:v>58900</c:v>
                </c:pt>
                <c:pt idx="158">
                  <c:v>44300</c:v>
                </c:pt>
                <c:pt idx="159">
                  <c:v>19300</c:v>
                </c:pt>
                <c:pt idx="160">
                  <c:v>280900</c:v>
                </c:pt>
                <c:pt idx="161">
                  <c:v>45600</c:v>
                </c:pt>
                <c:pt idx="162">
                  <c:v>31300</c:v>
                </c:pt>
                <c:pt idx="163">
                  <c:v>16900</c:v>
                </c:pt>
                <c:pt idx="164">
                  <c:v>460500</c:v>
                </c:pt>
                <c:pt idx="165">
                  <c:v>201900</c:v>
                </c:pt>
                <c:pt idx="166">
                  <c:v>83600</c:v>
                </c:pt>
                <c:pt idx="167">
                  <c:v>32300</c:v>
                </c:pt>
                <c:pt idx="168">
                  <c:v>480600</c:v>
                </c:pt>
                <c:pt idx="169">
                  <c:v>36900</c:v>
                </c:pt>
                <c:pt idx="170">
                  <c:v>54500</c:v>
                </c:pt>
                <c:pt idx="171">
                  <c:v>19800</c:v>
                </c:pt>
                <c:pt idx="172">
                  <c:v>334000</c:v>
                </c:pt>
                <c:pt idx="173">
                  <c:v>153900</c:v>
                </c:pt>
                <c:pt idx="174">
                  <c:v>60200</c:v>
                </c:pt>
                <c:pt idx="175">
                  <c:v>28600</c:v>
                </c:pt>
                <c:pt idx="176">
                  <c:v>466400</c:v>
                </c:pt>
                <c:pt idx="177">
                  <c:v>94400</c:v>
                </c:pt>
                <c:pt idx="178">
                  <c:v>72900</c:v>
                </c:pt>
                <c:pt idx="179">
                  <c:v>102700</c:v>
                </c:pt>
                <c:pt idx="180">
                  <c:v>381400</c:v>
                </c:pt>
                <c:pt idx="181">
                  <c:v>51300</c:v>
                </c:pt>
                <c:pt idx="182">
                  <c:v>41800</c:v>
                </c:pt>
                <c:pt idx="183">
                  <c:v>21500</c:v>
                </c:pt>
                <c:pt idx="184">
                  <c:v>290300</c:v>
                </c:pt>
                <c:pt idx="185">
                  <c:v>45600</c:v>
                </c:pt>
                <c:pt idx="186">
                  <c:v>31600</c:v>
                </c:pt>
                <c:pt idx="187">
                  <c:v>13400</c:v>
                </c:pt>
                <c:pt idx="188">
                  <c:v>415900</c:v>
                </c:pt>
                <c:pt idx="189">
                  <c:v>206300</c:v>
                </c:pt>
                <c:pt idx="190">
                  <c:v>77500</c:v>
                </c:pt>
                <c:pt idx="191">
                  <c:v>29000</c:v>
                </c:pt>
                <c:pt idx="192">
                  <c:v>365500</c:v>
                </c:pt>
                <c:pt idx="193">
                  <c:v>37500</c:v>
                </c:pt>
                <c:pt idx="194">
                  <c:v>56000</c:v>
                </c:pt>
                <c:pt idx="195">
                  <c:v>18500</c:v>
                </c:pt>
                <c:pt idx="196">
                  <c:v>348500</c:v>
                </c:pt>
                <c:pt idx="197">
                  <c:v>132700</c:v>
                </c:pt>
                <c:pt idx="198">
                  <c:v>73600</c:v>
                </c:pt>
                <c:pt idx="199">
                  <c:v>26500</c:v>
                </c:pt>
                <c:pt idx="200">
                  <c:v>523600</c:v>
                </c:pt>
                <c:pt idx="201">
                  <c:v>78900</c:v>
                </c:pt>
                <c:pt idx="202">
                  <c:v>86700</c:v>
                </c:pt>
                <c:pt idx="203">
                  <c:v>102500</c:v>
                </c:pt>
                <c:pt idx="204">
                  <c:v>342700</c:v>
                </c:pt>
                <c:pt idx="205">
                  <c:v>51800</c:v>
                </c:pt>
                <c:pt idx="206">
                  <c:v>48500</c:v>
                </c:pt>
                <c:pt idx="207">
                  <c:v>18100</c:v>
                </c:pt>
                <c:pt idx="208">
                  <c:v>252700</c:v>
                </c:pt>
                <c:pt idx="209">
                  <c:v>38900</c:v>
                </c:pt>
                <c:pt idx="210">
                  <c:v>33000</c:v>
                </c:pt>
                <c:pt idx="211">
                  <c:v>14600</c:v>
                </c:pt>
                <c:pt idx="212">
                  <c:v>390300</c:v>
                </c:pt>
                <c:pt idx="213">
                  <c:v>284000</c:v>
                </c:pt>
                <c:pt idx="214">
                  <c:v>48500</c:v>
                </c:pt>
                <c:pt idx="215">
                  <c:v>34100</c:v>
                </c:pt>
                <c:pt idx="216">
                  <c:v>437100</c:v>
                </c:pt>
                <c:pt idx="217">
                  <c:v>36400</c:v>
                </c:pt>
                <c:pt idx="218">
                  <c:v>54200</c:v>
                </c:pt>
                <c:pt idx="219">
                  <c:v>18800</c:v>
                </c:pt>
                <c:pt idx="220">
                  <c:v>375700</c:v>
                </c:pt>
                <c:pt idx="221">
                  <c:v>154700</c:v>
                </c:pt>
                <c:pt idx="222">
                  <c:v>73100</c:v>
                </c:pt>
                <c:pt idx="223">
                  <c:v>25200</c:v>
                </c:pt>
                <c:pt idx="224">
                  <c:v>432900</c:v>
                </c:pt>
                <c:pt idx="225">
                  <c:v>95900</c:v>
                </c:pt>
                <c:pt idx="226">
                  <c:v>128000</c:v>
                </c:pt>
                <c:pt idx="227">
                  <c:v>116900</c:v>
                </c:pt>
                <c:pt idx="228">
                  <c:v>380700</c:v>
                </c:pt>
                <c:pt idx="229">
                  <c:v>67500</c:v>
                </c:pt>
                <c:pt idx="230">
                  <c:v>43100</c:v>
                </c:pt>
                <c:pt idx="231">
                  <c:v>18300</c:v>
                </c:pt>
                <c:pt idx="232">
                  <c:v>290700</c:v>
                </c:pt>
                <c:pt idx="233">
                  <c:v>38600</c:v>
                </c:pt>
                <c:pt idx="234">
                  <c:v>32700</c:v>
                </c:pt>
                <c:pt idx="235">
                  <c:v>14400</c:v>
                </c:pt>
                <c:pt idx="236">
                  <c:v>377900</c:v>
                </c:pt>
                <c:pt idx="237">
                  <c:v>270000</c:v>
                </c:pt>
                <c:pt idx="238">
                  <c:v>60000</c:v>
                </c:pt>
                <c:pt idx="239">
                  <c:v>29900</c:v>
                </c:pt>
                <c:pt idx="240">
                  <c:v>367600</c:v>
                </c:pt>
                <c:pt idx="241">
                  <c:v>38500</c:v>
                </c:pt>
                <c:pt idx="242">
                  <c:v>61400</c:v>
                </c:pt>
                <c:pt idx="243">
                  <c:v>17300</c:v>
                </c:pt>
                <c:pt idx="244">
                  <c:v>418600</c:v>
                </c:pt>
                <c:pt idx="245">
                  <c:v>148700</c:v>
                </c:pt>
                <c:pt idx="246">
                  <c:v>70600</c:v>
                </c:pt>
                <c:pt idx="247">
                  <c:v>22200</c:v>
                </c:pt>
                <c:pt idx="248">
                  <c:v>434400</c:v>
                </c:pt>
                <c:pt idx="249">
                  <c:v>95900</c:v>
                </c:pt>
                <c:pt idx="250">
                  <c:v>107900</c:v>
                </c:pt>
                <c:pt idx="251">
                  <c:v>111900</c:v>
                </c:pt>
                <c:pt idx="252">
                  <c:v>375900</c:v>
                </c:pt>
                <c:pt idx="253">
                  <c:v>52800</c:v>
                </c:pt>
                <c:pt idx="254">
                  <c:v>49500</c:v>
                </c:pt>
                <c:pt idx="255">
                  <c:v>17300</c:v>
                </c:pt>
                <c:pt idx="256">
                  <c:v>274000</c:v>
                </c:pt>
                <c:pt idx="257">
                  <c:v>34400</c:v>
                </c:pt>
                <c:pt idx="258">
                  <c:v>32700</c:v>
                </c:pt>
                <c:pt idx="259">
                  <c:v>14900</c:v>
                </c:pt>
                <c:pt idx="260">
                  <c:v>400700</c:v>
                </c:pt>
                <c:pt idx="261">
                  <c:v>176100</c:v>
                </c:pt>
                <c:pt idx="262">
                  <c:v>49500</c:v>
                </c:pt>
                <c:pt idx="263">
                  <c:v>28000</c:v>
                </c:pt>
                <c:pt idx="264">
                  <c:v>402700</c:v>
                </c:pt>
                <c:pt idx="265">
                  <c:v>31100</c:v>
                </c:pt>
                <c:pt idx="266">
                  <c:v>53000</c:v>
                </c:pt>
                <c:pt idx="267">
                  <c:v>18400</c:v>
                </c:pt>
                <c:pt idx="268">
                  <c:v>379800</c:v>
                </c:pt>
                <c:pt idx="269">
                  <c:v>137200</c:v>
                </c:pt>
                <c:pt idx="270">
                  <c:v>63100</c:v>
                </c:pt>
                <c:pt idx="271">
                  <c:v>21700</c:v>
                </c:pt>
                <c:pt idx="272">
                  <c:v>544000</c:v>
                </c:pt>
                <c:pt idx="273">
                  <c:v>91500</c:v>
                </c:pt>
                <c:pt idx="274">
                  <c:v>69500</c:v>
                </c:pt>
                <c:pt idx="275">
                  <c:v>120600</c:v>
                </c:pt>
                <c:pt idx="276">
                  <c:v>305400</c:v>
                </c:pt>
                <c:pt idx="277">
                  <c:v>54300</c:v>
                </c:pt>
                <c:pt idx="278">
                  <c:v>45100</c:v>
                </c:pt>
                <c:pt idx="279">
                  <c:v>22700</c:v>
                </c:pt>
                <c:pt idx="280">
                  <c:v>300900</c:v>
                </c:pt>
                <c:pt idx="281">
                  <c:v>76000</c:v>
                </c:pt>
                <c:pt idx="282">
                  <c:v>32500</c:v>
                </c:pt>
                <c:pt idx="283">
                  <c:v>12800</c:v>
                </c:pt>
                <c:pt idx="284">
                  <c:v>404200</c:v>
                </c:pt>
                <c:pt idx="285">
                  <c:v>188800</c:v>
                </c:pt>
                <c:pt idx="286">
                  <c:v>56100</c:v>
                </c:pt>
                <c:pt idx="287">
                  <c:v>26300</c:v>
                </c:pt>
              </c:numCache>
            </c:numRef>
          </c:val>
          <c:extLst>
            <c:ext xmlns:c16="http://schemas.microsoft.com/office/drawing/2014/chart" uri="{C3380CC4-5D6E-409C-BE32-E72D297353CC}">
              <c16:uniqueId val="{00000000-DFC2-4A4F-BCE6-9A02B2DF6A9A}"/>
            </c:ext>
          </c:extLst>
        </c:ser>
        <c:ser>
          <c:idx val="1"/>
          <c:order val="1"/>
          <c:tx>
            <c:strRef>
              <c:f>Variance_Tracker!$I$4</c:f>
              <c:strCache>
                <c:ptCount val="1"/>
                <c:pt idx="0">
                  <c:v>Variance (INR)</c:v>
                </c:pt>
              </c:strCache>
            </c:strRef>
          </c:tx>
          <c:spPr>
            <a:solidFill>
              <a:schemeClr val="accent2"/>
            </a:solidFill>
            <a:ln>
              <a:noFill/>
            </a:ln>
            <a:effectLst/>
          </c:spPr>
          <c:invertIfNegative val="0"/>
          <c:val>
            <c:numRef>
              <c:f>Variance_Tracker!$I$5:$I$292</c:f>
              <c:numCache>
                <c:formatCode>\₹#,##0;"(₹"#,##0\);\-</c:formatCode>
                <c:ptCount val="288"/>
                <c:pt idx="0">
                  <c:v>59600</c:v>
                </c:pt>
                <c:pt idx="1">
                  <c:v>-800</c:v>
                </c:pt>
                <c:pt idx="2">
                  <c:v>6500</c:v>
                </c:pt>
                <c:pt idx="3">
                  <c:v>2000</c:v>
                </c:pt>
                <c:pt idx="4">
                  <c:v>60900</c:v>
                </c:pt>
                <c:pt idx="5">
                  <c:v>11600</c:v>
                </c:pt>
                <c:pt idx="6">
                  <c:v>4400</c:v>
                </c:pt>
                <c:pt idx="7">
                  <c:v>3300</c:v>
                </c:pt>
                <c:pt idx="8">
                  <c:v>61600</c:v>
                </c:pt>
                <c:pt idx="9">
                  <c:v>3000</c:v>
                </c:pt>
                <c:pt idx="10">
                  <c:v>11600</c:v>
                </c:pt>
                <c:pt idx="11">
                  <c:v>17300</c:v>
                </c:pt>
                <c:pt idx="12">
                  <c:v>68800</c:v>
                </c:pt>
                <c:pt idx="13">
                  <c:v>-15100</c:v>
                </c:pt>
                <c:pt idx="14">
                  <c:v>100</c:v>
                </c:pt>
                <c:pt idx="15">
                  <c:v>5000</c:v>
                </c:pt>
                <c:pt idx="16">
                  <c:v>60400</c:v>
                </c:pt>
                <c:pt idx="17">
                  <c:v>5200</c:v>
                </c:pt>
                <c:pt idx="18">
                  <c:v>6200</c:v>
                </c:pt>
                <c:pt idx="19">
                  <c:v>2800</c:v>
                </c:pt>
                <c:pt idx="20">
                  <c:v>35300</c:v>
                </c:pt>
                <c:pt idx="21">
                  <c:v>7900</c:v>
                </c:pt>
                <c:pt idx="22">
                  <c:v>6600</c:v>
                </c:pt>
                <c:pt idx="23">
                  <c:v>800</c:v>
                </c:pt>
                <c:pt idx="24">
                  <c:v>62100</c:v>
                </c:pt>
                <c:pt idx="25">
                  <c:v>-100</c:v>
                </c:pt>
                <c:pt idx="26">
                  <c:v>4200</c:v>
                </c:pt>
                <c:pt idx="27">
                  <c:v>2500</c:v>
                </c:pt>
                <c:pt idx="28">
                  <c:v>61700</c:v>
                </c:pt>
                <c:pt idx="29">
                  <c:v>-4300</c:v>
                </c:pt>
                <c:pt idx="30">
                  <c:v>7900</c:v>
                </c:pt>
                <c:pt idx="31">
                  <c:v>-100</c:v>
                </c:pt>
                <c:pt idx="32">
                  <c:v>73000</c:v>
                </c:pt>
                <c:pt idx="33">
                  <c:v>10000</c:v>
                </c:pt>
                <c:pt idx="34">
                  <c:v>2000</c:v>
                </c:pt>
                <c:pt idx="35">
                  <c:v>-3700</c:v>
                </c:pt>
                <c:pt idx="36">
                  <c:v>33100</c:v>
                </c:pt>
                <c:pt idx="37">
                  <c:v>-12000</c:v>
                </c:pt>
                <c:pt idx="38">
                  <c:v>7900</c:v>
                </c:pt>
                <c:pt idx="39">
                  <c:v>2500</c:v>
                </c:pt>
                <c:pt idx="40">
                  <c:v>-9600</c:v>
                </c:pt>
                <c:pt idx="41">
                  <c:v>9300</c:v>
                </c:pt>
                <c:pt idx="42">
                  <c:v>3300</c:v>
                </c:pt>
                <c:pt idx="43">
                  <c:v>-700</c:v>
                </c:pt>
                <c:pt idx="44">
                  <c:v>102300</c:v>
                </c:pt>
                <c:pt idx="45">
                  <c:v>5900</c:v>
                </c:pt>
                <c:pt idx="46">
                  <c:v>4000</c:v>
                </c:pt>
                <c:pt idx="47">
                  <c:v>5800</c:v>
                </c:pt>
                <c:pt idx="48">
                  <c:v>7200</c:v>
                </c:pt>
                <c:pt idx="49">
                  <c:v>-1600</c:v>
                </c:pt>
                <c:pt idx="50">
                  <c:v>-7200</c:v>
                </c:pt>
                <c:pt idx="51">
                  <c:v>-3800</c:v>
                </c:pt>
                <c:pt idx="52">
                  <c:v>12800</c:v>
                </c:pt>
                <c:pt idx="53">
                  <c:v>-31800</c:v>
                </c:pt>
                <c:pt idx="54">
                  <c:v>-3100</c:v>
                </c:pt>
                <c:pt idx="55">
                  <c:v>200</c:v>
                </c:pt>
                <c:pt idx="56">
                  <c:v>-121300</c:v>
                </c:pt>
                <c:pt idx="57">
                  <c:v>-18300</c:v>
                </c:pt>
                <c:pt idx="58">
                  <c:v>-12700</c:v>
                </c:pt>
                <c:pt idx="59">
                  <c:v>-14400</c:v>
                </c:pt>
                <c:pt idx="60">
                  <c:v>-34000</c:v>
                </c:pt>
                <c:pt idx="61">
                  <c:v>2300</c:v>
                </c:pt>
                <c:pt idx="62">
                  <c:v>-5900</c:v>
                </c:pt>
                <c:pt idx="63">
                  <c:v>-1900</c:v>
                </c:pt>
                <c:pt idx="64">
                  <c:v>10100</c:v>
                </c:pt>
                <c:pt idx="65">
                  <c:v>28000</c:v>
                </c:pt>
                <c:pt idx="66">
                  <c:v>1000</c:v>
                </c:pt>
                <c:pt idx="67">
                  <c:v>-2000</c:v>
                </c:pt>
                <c:pt idx="68">
                  <c:v>-48200</c:v>
                </c:pt>
                <c:pt idx="69">
                  <c:v>-10500</c:v>
                </c:pt>
                <c:pt idx="70">
                  <c:v>-3100</c:v>
                </c:pt>
                <c:pt idx="71">
                  <c:v>-7100</c:v>
                </c:pt>
                <c:pt idx="72">
                  <c:v>9600</c:v>
                </c:pt>
                <c:pt idx="73">
                  <c:v>3000</c:v>
                </c:pt>
                <c:pt idx="74">
                  <c:v>-500</c:v>
                </c:pt>
                <c:pt idx="75">
                  <c:v>500</c:v>
                </c:pt>
                <c:pt idx="76">
                  <c:v>-6200</c:v>
                </c:pt>
                <c:pt idx="77">
                  <c:v>67500</c:v>
                </c:pt>
                <c:pt idx="78">
                  <c:v>-400</c:v>
                </c:pt>
                <c:pt idx="79">
                  <c:v>-1600</c:v>
                </c:pt>
                <c:pt idx="80">
                  <c:v>-40300</c:v>
                </c:pt>
                <c:pt idx="81">
                  <c:v>-11900</c:v>
                </c:pt>
                <c:pt idx="82">
                  <c:v>-2900</c:v>
                </c:pt>
                <c:pt idx="83">
                  <c:v>11700</c:v>
                </c:pt>
                <c:pt idx="84">
                  <c:v>-29500</c:v>
                </c:pt>
                <c:pt idx="85">
                  <c:v>4000</c:v>
                </c:pt>
                <c:pt idx="86">
                  <c:v>1200</c:v>
                </c:pt>
                <c:pt idx="87">
                  <c:v>-700</c:v>
                </c:pt>
                <c:pt idx="88">
                  <c:v>-19300</c:v>
                </c:pt>
                <c:pt idx="89">
                  <c:v>-5300</c:v>
                </c:pt>
                <c:pt idx="90">
                  <c:v>4100</c:v>
                </c:pt>
                <c:pt idx="91">
                  <c:v>-1100</c:v>
                </c:pt>
                <c:pt idx="92">
                  <c:v>-29900</c:v>
                </c:pt>
                <c:pt idx="93">
                  <c:v>16600</c:v>
                </c:pt>
                <c:pt idx="94">
                  <c:v>-7800</c:v>
                </c:pt>
                <c:pt idx="95">
                  <c:v>-2800</c:v>
                </c:pt>
                <c:pt idx="96">
                  <c:v>37300</c:v>
                </c:pt>
                <c:pt idx="97">
                  <c:v>-1700</c:v>
                </c:pt>
                <c:pt idx="98">
                  <c:v>3400</c:v>
                </c:pt>
                <c:pt idx="99">
                  <c:v>1600</c:v>
                </c:pt>
                <c:pt idx="100">
                  <c:v>37700</c:v>
                </c:pt>
                <c:pt idx="101">
                  <c:v>57000</c:v>
                </c:pt>
                <c:pt idx="102">
                  <c:v>-3000</c:v>
                </c:pt>
                <c:pt idx="103">
                  <c:v>-3700</c:v>
                </c:pt>
                <c:pt idx="104">
                  <c:v>-1700</c:v>
                </c:pt>
                <c:pt idx="105">
                  <c:v>-200</c:v>
                </c:pt>
                <c:pt idx="106">
                  <c:v>4600</c:v>
                </c:pt>
                <c:pt idx="107">
                  <c:v>-2400</c:v>
                </c:pt>
                <c:pt idx="108">
                  <c:v>23200</c:v>
                </c:pt>
                <c:pt idx="109">
                  <c:v>-5100</c:v>
                </c:pt>
                <c:pt idx="110">
                  <c:v>6500</c:v>
                </c:pt>
                <c:pt idx="111">
                  <c:v>-1100</c:v>
                </c:pt>
                <c:pt idx="112">
                  <c:v>12000</c:v>
                </c:pt>
                <c:pt idx="113">
                  <c:v>-700</c:v>
                </c:pt>
                <c:pt idx="114">
                  <c:v>-3500</c:v>
                </c:pt>
                <c:pt idx="115">
                  <c:v>600</c:v>
                </c:pt>
                <c:pt idx="116">
                  <c:v>-51000</c:v>
                </c:pt>
                <c:pt idx="117">
                  <c:v>5700</c:v>
                </c:pt>
                <c:pt idx="118">
                  <c:v>-3200</c:v>
                </c:pt>
                <c:pt idx="119">
                  <c:v>1400</c:v>
                </c:pt>
                <c:pt idx="120">
                  <c:v>-85300</c:v>
                </c:pt>
                <c:pt idx="121">
                  <c:v>-5200</c:v>
                </c:pt>
                <c:pt idx="122">
                  <c:v>24300</c:v>
                </c:pt>
                <c:pt idx="123">
                  <c:v>-3800</c:v>
                </c:pt>
                <c:pt idx="124">
                  <c:v>-9600</c:v>
                </c:pt>
                <c:pt idx="125">
                  <c:v>-15000</c:v>
                </c:pt>
                <c:pt idx="126">
                  <c:v>-4800</c:v>
                </c:pt>
                <c:pt idx="127">
                  <c:v>-2400</c:v>
                </c:pt>
                <c:pt idx="128">
                  <c:v>-38600</c:v>
                </c:pt>
                <c:pt idx="129">
                  <c:v>2200</c:v>
                </c:pt>
                <c:pt idx="130">
                  <c:v>-500</c:v>
                </c:pt>
                <c:pt idx="131">
                  <c:v>-16900</c:v>
                </c:pt>
                <c:pt idx="132">
                  <c:v>-14600</c:v>
                </c:pt>
                <c:pt idx="133">
                  <c:v>-13400</c:v>
                </c:pt>
                <c:pt idx="134">
                  <c:v>-2800</c:v>
                </c:pt>
                <c:pt idx="135">
                  <c:v>-400</c:v>
                </c:pt>
                <c:pt idx="136">
                  <c:v>-34400</c:v>
                </c:pt>
                <c:pt idx="137">
                  <c:v>-3500</c:v>
                </c:pt>
                <c:pt idx="138">
                  <c:v>-100</c:v>
                </c:pt>
                <c:pt idx="139">
                  <c:v>500</c:v>
                </c:pt>
                <c:pt idx="140">
                  <c:v>-40000</c:v>
                </c:pt>
                <c:pt idx="141">
                  <c:v>-29500</c:v>
                </c:pt>
                <c:pt idx="142">
                  <c:v>100</c:v>
                </c:pt>
                <c:pt idx="143">
                  <c:v>-3400</c:v>
                </c:pt>
                <c:pt idx="144">
                  <c:v>-33500</c:v>
                </c:pt>
                <c:pt idx="145">
                  <c:v>5200</c:v>
                </c:pt>
                <c:pt idx="146">
                  <c:v>6200</c:v>
                </c:pt>
                <c:pt idx="147">
                  <c:v>-500</c:v>
                </c:pt>
                <c:pt idx="148">
                  <c:v>-11700</c:v>
                </c:pt>
                <c:pt idx="149">
                  <c:v>-5400</c:v>
                </c:pt>
                <c:pt idx="150">
                  <c:v>2400</c:v>
                </c:pt>
                <c:pt idx="151">
                  <c:v>1900</c:v>
                </c:pt>
                <c:pt idx="152">
                  <c:v>-50000</c:v>
                </c:pt>
                <c:pt idx="153">
                  <c:v>-3300</c:v>
                </c:pt>
                <c:pt idx="154">
                  <c:v>4300</c:v>
                </c:pt>
                <c:pt idx="155">
                  <c:v>12200</c:v>
                </c:pt>
                <c:pt idx="156">
                  <c:v>-4200</c:v>
                </c:pt>
                <c:pt idx="157">
                  <c:v>-1100</c:v>
                </c:pt>
                <c:pt idx="158">
                  <c:v>-700</c:v>
                </c:pt>
                <c:pt idx="159">
                  <c:v>-700</c:v>
                </c:pt>
                <c:pt idx="160">
                  <c:v>-9100</c:v>
                </c:pt>
                <c:pt idx="161">
                  <c:v>5600</c:v>
                </c:pt>
                <c:pt idx="162">
                  <c:v>1300</c:v>
                </c:pt>
                <c:pt idx="163">
                  <c:v>1900</c:v>
                </c:pt>
                <c:pt idx="164">
                  <c:v>50500</c:v>
                </c:pt>
                <c:pt idx="165">
                  <c:v>1900</c:v>
                </c:pt>
                <c:pt idx="166">
                  <c:v>28600</c:v>
                </c:pt>
                <c:pt idx="167">
                  <c:v>2300</c:v>
                </c:pt>
                <c:pt idx="168">
                  <c:v>60600</c:v>
                </c:pt>
                <c:pt idx="169">
                  <c:v>1900</c:v>
                </c:pt>
                <c:pt idx="170">
                  <c:v>-500</c:v>
                </c:pt>
                <c:pt idx="171">
                  <c:v>1800</c:v>
                </c:pt>
                <c:pt idx="172">
                  <c:v>-46000</c:v>
                </c:pt>
                <c:pt idx="173">
                  <c:v>3900</c:v>
                </c:pt>
                <c:pt idx="174">
                  <c:v>-9800</c:v>
                </c:pt>
                <c:pt idx="175">
                  <c:v>3600</c:v>
                </c:pt>
                <c:pt idx="176">
                  <c:v>-33600</c:v>
                </c:pt>
                <c:pt idx="177">
                  <c:v>4400</c:v>
                </c:pt>
                <c:pt idx="178">
                  <c:v>-7100</c:v>
                </c:pt>
                <c:pt idx="179">
                  <c:v>-7300</c:v>
                </c:pt>
                <c:pt idx="180">
                  <c:v>31400</c:v>
                </c:pt>
                <c:pt idx="181">
                  <c:v>-8700</c:v>
                </c:pt>
                <c:pt idx="182">
                  <c:v>-3200</c:v>
                </c:pt>
                <c:pt idx="183">
                  <c:v>1500</c:v>
                </c:pt>
                <c:pt idx="184">
                  <c:v>300</c:v>
                </c:pt>
                <c:pt idx="185">
                  <c:v>5600</c:v>
                </c:pt>
                <c:pt idx="186">
                  <c:v>1600</c:v>
                </c:pt>
                <c:pt idx="187">
                  <c:v>-1600</c:v>
                </c:pt>
                <c:pt idx="188">
                  <c:v>5900</c:v>
                </c:pt>
                <c:pt idx="189">
                  <c:v>6300</c:v>
                </c:pt>
                <c:pt idx="190">
                  <c:v>22500</c:v>
                </c:pt>
                <c:pt idx="191">
                  <c:v>-1000</c:v>
                </c:pt>
                <c:pt idx="192">
                  <c:v>-96500</c:v>
                </c:pt>
                <c:pt idx="193">
                  <c:v>-500</c:v>
                </c:pt>
                <c:pt idx="194">
                  <c:v>-5000</c:v>
                </c:pt>
                <c:pt idx="195">
                  <c:v>-1500</c:v>
                </c:pt>
                <c:pt idx="196">
                  <c:v>-69500</c:v>
                </c:pt>
                <c:pt idx="197">
                  <c:v>-32300</c:v>
                </c:pt>
                <c:pt idx="198">
                  <c:v>-3400</c:v>
                </c:pt>
                <c:pt idx="199">
                  <c:v>-1500</c:v>
                </c:pt>
                <c:pt idx="200">
                  <c:v>-26400</c:v>
                </c:pt>
                <c:pt idx="201">
                  <c:v>-20100</c:v>
                </c:pt>
                <c:pt idx="202">
                  <c:v>-1300</c:v>
                </c:pt>
                <c:pt idx="203">
                  <c:v>-18500</c:v>
                </c:pt>
                <c:pt idx="204">
                  <c:v>-42300</c:v>
                </c:pt>
                <c:pt idx="205">
                  <c:v>-14200</c:v>
                </c:pt>
                <c:pt idx="206">
                  <c:v>-1500</c:v>
                </c:pt>
                <c:pt idx="207">
                  <c:v>-3900</c:v>
                </c:pt>
                <c:pt idx="208">
                  <c:v>-66300</c:v>
                </c:pt>
                <c:pt idx="209">
                  <c:v>-5100</c:v>
                </c:pt>
                <c:pt idx="210">
                  <c:v>0</c:v>
                </c:pt>
                <c:pt idx="211">
                  <c:v>-1400</c:v>
                </c:pt>
                <c:pt idx="212">
                  <c:v>-60700</c:v>
                </c:pt>
                <c:pt idx="213">
                  <c:v>64000</c:v>
                </c:pt>
                <c:pt idx="214">
                  <c:v>-12500</c:v>
                </c:pt>
                <c:pt idx="215">
                  <c:v>1100</c:v>
                </c:pt>
                <c:pt idx="216">
                  <c:v>-3900</c:v>
                </c:pt>
                <c:pt idx="217">
                  <c:v>-600</c:v>
                </c:pt>
                <c:pt idx="218">
                  <c:v>-3800</c:v>
                </c:pt>
                <c:pt idx="219">
                  <c:v>-200</c:v>
                </c:pt>
                <c:pt idx="220">
                  <c:v>-23300</c:v>
                </c:pt>
                <c:pt idx="221">
                  <c:v>-3300</c:v>
                </c:pt>
                <c:pt idx="222">
                  <c:v>-900</c:v>
                </c:pt>
                <c:pt idx="223">
                  <c:v>-800</c:v>
                </c:pt>
                <c:pt idx="224">
                  <c:v>-92100</c:v>
                </c:pt>
                <c:pt idx="225">
                  <c:v>1900</c:v>
                </c:pt>
                <c:pt idx="226">
                  <c:v>44000</c:v>
                </c:pt>
                <c:pt idx="227">
                  <c:v>900</c:v>
                </c:pt>
                <c:pt idx="228">
                  <c:v>12700</c:v>
                </c:pt>
                <c:pt idx="229">
                  <c:v>4500</c:v>
                </c:pt>
                <c:pt idx="230">
                  <c:v>-3900</c:v>
                </c:pt>
                <c:pt idx="231">
                  <c:v>-2700</c:v>
                </c:pt>
                <c:pt idx="232">
                  <c:v>-13300</c:v>
                </c:pt>
                <c:pt idx="233">
                  <c:v>-3400</c:v>
                </c:pt>
                <c:pt idx="234">
                  <c:v>700</c:v>
                </c:pt>
                <c:pt idx="235">
                  <c:v>-1600</c:v>
                </c:pt>
                <c:pt idx="236">
                  <c:v>-52100</c:v>
                </c:pt>
                <c:pt idx="237">
                  <c:v>60000</c:v>
                </c:pt>
                <c:pt idx="238">
                  <c:v>2000</c:v>
                </c:pt>
                <c:pt idx="239">
                  <c:v>-2100</c:v>
                </c:pt>
                <c:pt idx="240">
                  <c:v>-73400</c:v>
                </c:pt>
                <c:pt idx="241">
                  <c:v>1500</c:v>
                </c:pt>
                <c:pt idx="242">
                  <c:v>3400</c:v>
                </c:pt>
                <c:pt idx="243">
                  <c:v>-1700</c:v>
                </c:pt>
                <c:pt idx="244">
                  <c:v>19600</c:v>
                </c:pt>
                <c:pt idx="245">
                  <c:v>-9300</c:v>
                </c:pt>
                <c:pt idx="246">
                  <c:v>-3400</c:v>
                </c:pt>
                <c:pt idx="247">
                  <c:v>-3800</c:v>
                </c:pt>
                <c:pt idx="248">
                  <c:v>-90600</c:v>
                </c:pt>
                <c:pt idx="249">
                  <c:v>1900</c:v>
                </c:pt>
                <c:pt idx="250">
                  <c:v>23900</c:v>
                </c:pt>
                <c:pt idx="251">
                  <c:v>-4100</c:v>
                </c:pt>
                <c:pt idx="252">
                  <c:v>7900</c:v>
                </c:pt>
                <c:pt idx="253">
                  <c:v>-10200</c:v>
                </c:pt>
                <c:pt idx="254">
                  <c:v>2500</c:v>
                </c:pt>
                <c:pt idx="255">
                  <c:v>-3700</c:v>
                </c:pt>
                <c:pt idx="256">
                  <c:v>-30000</c:v>
                </c:pt>
                <c:pt idx="257">
                  <c:v>-7600</c:v>
                </c:pt>
                <c:pt idx="258">
                  <c:v>700</c:v>
                </c:pt>
                <c:pt idx="259">
                  <c:v>-1100</c:v>
                </c:pt>
                <c:pt idx="260">
                  <c:v>-29300</c:v>
                </c:pt>
                <c:pt idx="261">
                  <c:v>-33900</c:v>
                </c:pt>
                <c:pt idx="262">
                  <c:v>-8500</c:v>
                </c:pt>
                <c:pt idx="263">
                  <c:v>-4000</c:v>
                </c:pt>
                <c:pt idx="264">
                  <c:v>-101300</c:v>
                </c:pt>
                <c:pt idx="265">
                  <c:v>-10900</c:v>
                </c:pt>
                <c:pt idx="266">
                  <c:v>-13000</c:v>
                </c:pt>
                <c:pt idx="267">
                  <c:v>-3600</c:v>
                </c:pt>
                <c:pt idx="268">
                  <c:v>-76200</c:v>
                </c:pt>
                <c:pt idx="269">
                  <c:v>-42800</c:v>
                </c:pt>
                <c:pt idx="270">
                  <c:v>-20900</c:v>
                </c:pt>
                <c:pt idx="271">
                  <c:v>-8300</c:v>
                </c:pt>
                <c:pt idx="272">
                  <c:v>-56000</c:v>
                </c:pt>
                <c:pt idx="273">
                  <c:v>-16500</c:v>
                </c:pt>
                <c:pt idx="274">
                  <c:v>-26500</c:v>
                </c:pt>
                <c:pt idx="275">
                  <c:v>-11400</c:v>
                </c:pt>
                <c:pt idx="276">
                  <c:v>-114600</c:v>
                </c:pt>
                <c:pt idx="277">
                  <c:v>-17700</c:v>
                </c:pt>
                <c:pt idx="278">
                  <c:v>-8900</c:v>
                </c:pt>
                <c:pt idx="279">
                  <c:v>-1300</c:v>
                </c:pt>
                <c:pt idx="280">
                  <c:v>-47100</c:v>
                </c:pt>
                <c:pt idx="281">
                  <c:v>28000</c:v>
                </c:pt>
                <c:pt idx="282">
                  <c:v>-3500</c:v>
                </c:pt>
                <c:pt idx="283">
                  <c:v>-5200</c:v>
                </c:pt>
                <c:pt idx="284">
                  <c:v>-87800</c:v>
                </c:pt>
                <c:pt idx="285">
                  <c:v>-51200</c:v>
                </c:pt>
                <c:pt idx="286">
                  <c:v>-9900</c:v>
                </c:pt>
                <c:pt idx="287">
                  <c:v>-9700</c:v>
                </c:pt>
              </c:numCache>
            </c:numRef>
          </c:val>
          <c:extLst>
            <c:ext xmlns:c16="http://schemas.microsoft.com/office/drawing/2014/chart" uri="{C3380CC4-5D6E-409C-BE32-E72D297353CC}">
              <c16:uniqueId val="{00000001-DFC2-4A4F-BCE6-9A02B2DF6A9A}"/>
            </c:ext>
          </c:extLst>
        </c:ser>
        <c:dLbls>
          <c:showLegendKey val="0"/>
          <c:showVal val="0"/>
          <c:showCatName val="0"/>
          <c:showSerName val="0"/>
          <c:showPercent val="0"/>
          <c:showBubbleSize val="0"/>
        </c:dLbls>
        <c:gapWidth val="219"/>
        <c:overlap val="-27"/>
        <c:axId val="1810555055"/>
        <c:axId val="1810556015"/>
      </c:barChart>
      <c:catAx>
        <c:axId val="18105550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56015"/>
        <c:crosses val="autoZero"/>
        <c:auto val="1"/>
        <c:lblAlgn val="ctr"/>
        <c:lblOffset val="100"/>
        <c:noMultiLvlLbl val="0"/>
      </c:catAx>
      <c:valAx>
        <c:axId val="18105560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555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FBBF24"/>
                </a:solidFill>
                <a:latin typeface="+mn-lt"/>
                <a:ea typeface="+mn-ea"/>
                <a:cs typeface="+mn-cs"/>
              </a:defRPr>
            </a:pPr>
            <a:r>
              <a:rPr lang="en-US"/>
              <a:t>Budget vs Actual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FBBF24"/>
              </a:solidFill>
              <a:latin typeface="+mn-lt"/>
              <a:ea typeface="+mn-ea"/>
              <a:cs typeface="+mn-cs"/>
            </a:defRPr>
          </a:pPr>
          <a:endParaRPr lang="en-US"/>
        </a:p>
      </c:txPr>
    </c:title>
    <c:autoTitleDeleted val="0"/>
    <c:plotArea>
      <c:layout/>
      <c:barChart>
        <c:barDir val="col"/>
        <c:grouping val="clustered"/>
        <c:varyColors val="0"/>
        <c:ser>
          <c:idx val="1"/>
          <c:order val="0"/>
          <c:tx>
            <c:strRef>
              <c:f>Dashboard!$R$3</c:f>
              <c:strCache>
                <c:ptCount val="1"/>
                <c:pt idx="0">
                  <c:v>Actual</c:v>
                </c:pt>
              </c:strCache>
            </c:strRef>
          </c:tx>
          <c:spPr>
            <a:solidFill>
              <a:schemeClr val="tx2">
                <a:lumMod val="60000"/>
                <a:lumOff val="40000"/>
              </a:schemeClr>
            </a:solidFill>
            <a:ln>
              <a:noFill/>
            </a:ln>
            <a:effectLst/>
          </c:spPr>
          <c:invertIfNegative val="0"/>
          <c:cat>
            <c:strRef>
              <c:extLst>
                <c:ext xmlns:c15="http://schemas.microsoft.com/office/drawing/2012/chart" uri="{02D57815-91ED-43cb-92C2-25804820EDAC}">
                  <c15:fullRef>
                    <c15:sqref>Dashboard!$P$4:$P$9</c15:sqref>
                  </c15:fullRef>
                </c:ext>
              </c:extLst>
              <c:f>(Dashboard!$P$4:$P$6,Dashboard!$P$8:$P$9)</c:f>
              <c:strCache>
                <c:ptCount val="5"/>
                <c:pt idx="0">
                  <c:v>Finance</c:v>
                </c:pt>
                <c:pt idx="1">
                  <c:v>HR</c:v>
                </c:pt>
                <c:pt idx="2">
                  <c:v>IT</c:v>
                </c:pt>
                <c:pt idx="3">
                  <c:v>Operations</c:v>
                </c:pt>
                <c:pt idx="4">
                  <c:v>Sales</c:v>
                </c:pt>
              </c:strCache>
            </c:strRef>
          </c:cat>
          <c:val>
            <c:numRef>
              <c:extLst>
                <c:ext xmlns:c15="http://schemas.microsoft.com/office/drawing/2012/chart" uri="{02D57815-91ED-43cb-92C2-25804820EDAC}">
                  <c15:fullRef>
                    <c15:sqref>Dashboard!$R$4:$R$9</c15:sqref>
                  </c15:fullRef>
                </c:ext>
              </c:extLst>
              <c:f>(Dashboard!$R$4:$R$6,Dashboard!$R$8:$R$9)</c:f>
              <c:numCache>
                <c:formatCode>\₹#,##0</c:formatCode>
                <c:ptCount val="5"/>
                <c:pt idx="0">
                  <c:v>4562700</c:v>
                </c:pt>
                <c:pt idx="1">
                  <c:v>6395000</c:v>
                </c:pt>
                <c:pt idx="2">
                  <c:v>9211900</c:v>
                </c:pt>
                <c:pt idx="3">
                  <c:v>5726100</c:v>
                </c:pt>
                <c:pt idx="4">
                  <c:v>8459300</c:v>
                </c:pt>
              </c:numCache>
            </c:numRef>
          </c:val>
          <c:extLst>
            <c:ext xmlns:c16="http://schemas.microsoft.com/office/drawing/2014/chart" uri="{C3380CC4-5D6E-409C-BE32-E72D297353CC}">
              <c16:uniqueId val="{00000001-5514-45FE-B955-0B9479FE220C}"/>
            </c:ext>
          </c:extLst>
        </c:ser>
        <c:ser>
          <c:idx val="0"/>
          <c:order val="1"/>
          <c:tx>
            <c:strRef>
              <c:f>Dashboard!$Q$3</c:f>
              <c:strCache>
                <c:ptCount val="1"/>
                <c:pt idx="0">
                  <c:v>Budget</c:v>
                </c:pt>
              </c:strCache>
            </c:strRef>
          </c:tx>
          <c:spPr>
            <a:solidFill>
              <a:srgbClr val="D14233"/>
            </a:solidFill>
            <a:ln>
              <a:noFill/>
            </a:ln>
            <a:effectLst/>
          </c:spPr>
          <c:invertIfNegative val="0"/>
          <c:cat>
            <c:strRef>
              <c:extLst>
                <c:ext xmlns:c15="http://schemas.microsoft.com/office/drawing/2012/chart" uri="{02D57815-91ED-43cb-92C2-25804820EDAC}">
                  <c15:fullRef>
                    <c15:sqref>Dashboard!$P$4:$P$9</c15:sqref>
                  </c15:fullRef>
                </c:ext>
              </c:extLst>
              <c:f>(Dashboard!$P$4:$P$6,Dashboard!$P$8:$P$9)</c:f>
              <c:strCache>
                <c:ptCount val="5"/>
                <c:pt idx="0">
                  <c:v>Finance</c:v>
                </c:pt>
                <c:pt idx="1">
                  <c:v>HR</c:v>
                </c:pt>
                <c:pt idx="2">
                  <c:v>IT</c:v>
                </c:pt>
                <c:pt idx="3">
                  <c:v>Operations</c:v>
                </c:pt>
                <c:pt idx="4">
                  <c:v>Sales</c:v>
                </c:pt>
              </c:strCache>
            </c:strRef>
          </c:cat>
          <c:val>
            <c:numRef>
              <c:extLst>
                <c:ext xmlns:c15="http://schemas.microsoft.com/office/drawing/2012/chart" uri="{02D57815-91ED-43cb-92C2-25804820EDAC}">
                  <c15:fullRef>
                    <c15:sqref>Dashboard!$Q$4:$Q$9</c15:sqref>
                  </c15:fullRef>
                </c:ext>
              </c:extLst>
              <c:f>(Dashboard!$Q$4:$Q$6,Dashboard!$Q$8:$Q$9)</c:f>
              <c:numCache>
                <c:formatCode>\₹#,##0</c:formatCode>
                <c:ptCount val="5"/>
                <c:pt idx="0">
                  <c:v>4650000</c:v>
                </c:pt>
                <c:pt idx="1">
                  <c:v>6551000</c:v>
                </c:pt>
                <c:pt idx="2">
                  <c:v>9672000</c:v>
                </c:pt>
                <c:pt idx="3">
                  <c:v>5891000</c:v>
                </c:pt>
                <c:pt idx="4">
                  <c:v>8621000</c:v>
                </c:pt>
              </c:numCache>
            </c:numRef>
          </c:val>
          <c:extLst>
            <c:ext xmlns:c16="http://schemas.microsoft.com/office/drawing/2014/chart" uri="{C3380CC4-5D6E-409C-BE32-E72D297353CC}">
              <c16:uniqueId val="{00000000-5514-45FE-B955-0B9479FE220C}"/>
            </c:ext>
          </c:extLst>
        </c:ser>
        <c:dLbls>
          <c:showLegendKey val="0"/>
          <c:showVal val="0"/>
          <c:showCatName val="0"/>
          <c:showSerName val="0"/>
          <c:showPercent val="0"/>
          <c:showBubbleSize val="0"/>
        </c:dLbls>
        <c:gapWidth val="182"/>
        <c:axId val="212094160"/>
        <c:axId val="212097040"/>
      </c:barChart>
      <c:catAx>
        <c:axId val="21209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rgbClr val="FFFFFF"/>
                </a:solidFill>
                <a:latin typeface="+mn-lt"/>
                <a:ea typeface="+mn-ea"/>
                <a:cs typeface="+mn-cs"/>
              </a:defRPr>
            </a:pPr>
            <a:endParaRPr lang="en-US"/>
          </a:p>
        </c:txPr>
        <c:crossAx val="212097040"/>
        <c:crosses val="autoZero"/>
        <c:auto val="1"/>
        <c:lblAlgn val="ctr"/>
        <c:lblOffset val="100"/>
        <c:noMultiLvlLbl val="0"/>
      </c:catAx>
      <c:valAx>
        <c:axId val="212097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212094160"/>
        <c:crosses val="autoZero"/>
        <c:crossBetween val="between"/>
      </c:valAx>
      <c:spPr>
        <a:solidFill>
          <a:srgbClr val="16213E"/>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213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val">
        <cx:f>_xlchart.v1.7</cx:f>
      </cx:numDim>
    </cx:data>
  </cx:chartData>
  <cx:chart>
    <cx:title pos="t" align="ctr" overlay="0">
      <cx:tx>
        <cx:txData>
          <cx:v>Variance by Department (Waterfall)</cx:v>
        </cx:txData>
      </cx:tx>
      <cx:txPr>
        <a:bodyPr vertOverflow="overflow" horzOverflow="overflow" wrap="square" lIns="0" tIns="0" rIns="0" bIns="0"/>
        <a:lstStyle/>
        <a:p>
          <a:pPr algn="ctr" rtl="0">
            <a:defRPr sz="1400" b="1" i="0">
              <a:solidFill>
                <a:srgbClr val="FBBF24"/>
              </a:solidFill>
              <a:latin typeface="Calibri" panose="020F0502020204030204" pitchFamily="34" charset="0"/>
              <a:ea typeface="Calibri" panose="020F0502020204030204" pitchFamily="34" charset="0"/>
              <a:cs typeface="Calibri" panose="020F0502020204030204" pitchFamily="34" charset="0"/>
            </a:defRPr>
          </a:pPr>
          <a:r>
            <a:rPr lang="en-US" sz="1400" b="1">
              <a:solidFill>
                <a:srgbClr val="FBBF24"/>
              </a:solidFill>
            </a:rPr>
            <a:t>Variance by Department (Waterfall)</a:t>
          </a:r>
        </a:p>
      </cx:txPr>
    </cx:title>
    <cx:plotArea>
      <cx:plotAreaRegion>
        <cx:plotSurface>
          <cx:spPr>
            <a:solidFill>
              <a:srgbClr val="16213E"/>
            </a:solidFill>
          </cx:spPr>
        </cx:plotSurface>
        <cx:series layoutId="waterfall" uniqueId="{FE893F30-4ED8-4A45-9203-613CBBE7F34B}">
          <cx:tx>
            <cx:txData>
              <cx:f>_xlchart.v1.6</cx:f>
              <cx:v>Variance</cx:v>
            </cx:txData>
          </cx:tx>
          <cx:dataLabels pos="outEnd">
            <cx:txPr>
              <a:bodyPr spcFirstLastPara="1" vertOverflow="ellipsis" horzOverflow="overflow" wrap="square" lIns="0" tIns="0" rIns="0" bIns="0" anchor="ctr" anchorCtr="1"/>
              <a:lstStyle/>
              <a:p>
                <a:pPr algn="ctr" rtl="0">
                  <a:defRPr sz="1100">
                    <a:solidFill>
                      <a:schemeClr val="bg1"/>
                    </a:solidFill>
                  </a:defRPr>
                </a:pPr>
                <a:endParaRPr lang="en-US" sz="1100" b="0" i="0" u="none" strike="noStrike" baseline="0">
                  <a:solidFill>
                    <a:schemeClr val="bg1"/>
                  </a:solidFill>
                  <a:latin typeface="Calibri"/>
                </a:endParaRPr>
              </a:p>
            </cx:txPr>
            <cx:visibility seriesName="0" categoryName="0" value="1"/>
          </cx:dataLabels>
          <cx:dataId val="0"/>
          <cx:layoutPr>
            <cx:visibility connectorLines="1"/>
            <cx:subtotals/>
          </cx:layoutPr>
        </cx:series>
      </cx:plotAreaRegion>
      <cx:axis id="0">
        <cx:catScaling gapWidth="0.5"/>
        <cx:tickLabels/>
        <cx:txPr>
          <a:bodyPr vertOverflow="overflow" horzOverflow="overflow" wrap="square" lIns="0" tIns="0" rIns="0" bIns="0"/>
          <a:lstStyle/>
          <a:p>
            <a:pPr algn="ctr" rtl="0">
              <a:defRPr sz="1200" b="0"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a:solidFill>
                <a:srgbClr val="FFFFFF"/>
              </a:solidFill>
            </a:endParaRPr>
          </a:p>
        </cx:txPr>
      </cx:axis>
      <cx:axis id="1">
        <cx:valScaling/>
        <cx:majorGridlines/>
        <cx:tickLabels/>
        <cx:txPr>
          <a:bodyPr vertOverflow="overflow" horzOverflow="overflow" wrap="square" lIns="0" tIns="0" rIns="0" bIns="0"/>
          <a:lstStyle/>
          <a:p>
            <a:pPr algn="ctr" rtl="0">
              <a:defRPr sz="1200" b="0"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a:solidFill>
                <a:srgbClr val="FFFFFF"/>
              </a:solidFill>
            </a:endParaRPr>
          </a:p>
        </cx:txPr>
      </cx:axis>
    </cx:plotArea>
    <cx:legend pos="t" align="ctr" overlay="0">
      <cx:txPr>
        <a:bodyPr vertOverflow="overflow" horzOverflow="overflow" wrap="square" lIns="0" tIns="0" rIns="0" bIns="0"/>
        <a:lstStyle/>
        <a:p>
          <a:pPr algn="ctr" rtl="0">
            <a:defRPr sz="1200" b="0" i="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a:solidFill>
              <a:srgbClr val="FFFFFF"/>
            </a:solidFill>
          </a:endParaRPr>
        </a:p>
      </cx:txPr>
    </cx:legend>
  </cx:chart>
  <cx:spPr>
    <a:solidFill>
      <a:srgbClr val="16213E"/>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343727</xdr:colOff>
      <xdr:row>269</xdr:row>
      <xdr:rowOff>72679</xdr:rowOff>
    </xdr:from>
    <xdr:to>
      <xdr:col>17</xdr:col>
      <xdr:colOff>10353</xdr:colOff>
      <xdr:row>283</xdr:row>
      <xdr:rowOff>134384</xdr:rowOff>
    </xdr:to>
    <xdr:graphicFrame macro="">
      <xdr:nvGraphicFramePr>
        <xdr:cNvPr id="5" name="Chart 4">
          <a:extLst>
            <a:ext uri="{FF2B5EF4-FFF2-40B4-BE49-F238E27FC236}">
              <a16:creationId xmlns:a16="http://schemas.microsoft.com/office/drawing/2014/main" id="{51EA0BA4-7D38-EB94-3824-6C4FFF31C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79375</xdr:colOff>
      <xdr:row>7</xdr:row>
      <xdr:rowOff>84259</xdr:rowOff>
    </xdr:from>
    <xdr:to>
      <xdr:col>11</xdr:col>
      <xdr:colOff>504458</xdr:colOff>
      <xdr:row>18</xdr:row>
      <xdr:rowOff>0</xdr:rowOff>
    </xdr:to>
    <mc:AlternateContent xmlns:mc="http://schemas.openxmlformats.org/markup-compatibility/2006">
      <mc:Choice xmlns:a14="http://schemas.microsoft.com/office/drawing/2010/main" Requires="a14">
        <xdr:graphicFrame macro="">
          <xdr:nvGraphicFramePr>
            <xdr:cNvPr id="2" name="Slicer_Department">
              <a:extLst>
                <a:ext uri="{FF2B5EF4-FFF2-40B4-BE49-F238E27FC236}">
                  <a16:creationId xmlns:a16="http://schemas.microsoft.com/office/drawing/2014/main" id="{B2ADBCD9-7CD4-D881-7583-503F61CB0567}"/>
                </a:ext>
              </a:extLst>
            </xdr:cNvPr>
            <xdr:cNvGraphicFramePr/>
          </xdr:nvGraphicFramePr>
          <xdr:xfrm>
            <a:off x="0" y="0"/>
            <a:ext cx="0" cy="0"/>
          </xdr:xfrm>
          <a:graphic>
            <a:graphicData uri="http://schemas.microsoft.com/office/drawing/2010/slicer">
              <sle:slicer xmlns:sle="http://schemas.microsoft.com/office/drawing/2010/slicer" name="Slicer_Department"/>
            </a:graphicData>
          </a:graphic>
        </xdr:graphicFrame>
      </mc:Choice>
      <mc:Fallback>
        <xdr:sp macro="" textlink="">
          <xdr:nvSpPr>
            <xdr:cNvPr id="0" name=""/>
            <xdr:cNvSpPr>
              <a:spLocks noTextEdit="1"/>
            </xdr:cNvSpPr>
          </xdr:nvSpPr>
          <xdr:spPr>
            <a:xfrm>
              <a:off x="7842250" y="2275009"/>
              <a:ext cx="1758583" cy="1923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291856</xdr:colOff>
      <xdr:row>7</xdr:row>
      <xdr:rowOff>66901</xdr:rowOff>
    </xdr:from>
    <xdr:to>
      <xdr:col>8</xdr:col>
      <xdr:colOff>1093106</xdr:colOff>
      <xdr:row>15</xdr:row>
      <xdr:rowOff>1221</xdr:rowOff>
    </xdr:to>
    <mc:AlternateContent xmlns:mc="http://schemas.openxmlformats.org/markup-compatibility/2006">
      <mc:Choice xmlns:a14="http://schemas.microsoft.com/office/drawing/2010/main" Requires="a14">
        <xdr:graphicFrame macro="">
          <xdr:nvGraphicFramePr>
            <xdr:cNvPr id="3" name="Slicer_Quarter">
              <a:extLst>
                <a:ext uri="{FF2B5EF4-FFF2-40B4-BE49-F238E27FC236}">
                  <a16:creationId xmlns:a16="http://schemas.microsoft.com/office/drawing/2014/main" id="{C737B430-4B49-C32C-54D6-A4BE3E9E6ECE}"/>
                </a:ext>
              </a:extLst>
            </xdr:cNvPr>
            <xdr:cNvGraphicFramePr/>
          </xdr:nvGraphicFramePr>
          <xdr:xfrm>
            <a:off x="0" y="0"/>
            <a:ext cx="0" cy="0"/>
          </xdr:xfrm>
          <a:graphic>
            <a:graphicData uri="http://schemas.microsoft.com/office/drawing/2010/slicer">
              <sle:slicer xmlns:sle="http://schemas.microsoft.com/office/drawing/2010/slicer" name="Slicer_Quarter"/>
            </a:graphicData>
          </a:graphic>
        </xdr:graphicFrame>
      </mc:Choice>
      <mc:Fallback>
        <xdr:sp macro="" textlink="">
          <xdr:nvSpPr>
            <xdr:cNvPr id="0" name=""/>
            <xdr:cNvSpPr>
              <a:spLocks noTextEdit="1"/>
            </xdr:cNvSpPr>
          </xdr:nvSpPr>
          <xdr:spPr>
            <a:xfrm>
              <a:off x="5768731" y="2257651"/>
              <a:ext cx="1944250" cy="1394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21</xdr:row>
      <xdr:rowOff>0</xdr:rowOff>
    </xdr:from>
    <xdr:to>
      <xdr:col>9</xdr:col>
      <xdr:colOff>0</xdr:colOff>
      <xdr:row>42</xdr:row>
      <xdr:rowOff>0</xdr:rowOff>
    </xdr:to>
    <xdr:graphicFrame macro="">
      <xdr:nvGraphicFramePr>
        <xdr:cNvPr id="5" name="BudgetVsActual">
          <a:extLst>
            <a:ext uri="{FF2B5EF4-FFF2-40B4-BE49-F238E27FC236}">
              <a16:creationId xmlns:a16="http://schemas.microsoft.com/office/drawing/2014/main" id="{6E487F54-2620-DE0D-E43A-D2746C694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21</xdr:row>
      <xdr:rowOff>0</xdr:rowOff>
    </xdr:from>
    <xdr:to>
      <xdr:col>19</xdr:col>
      <xdr:colOff>0</xdr:colOff>
      <xdr:row>42</xdr:row>
      <xdr:rowOff>0</xdr:rowOff>
    </xdr:to>
    <mc:AlternateContent xmlns:mc="http://schemas.openxmlformats.org/markup-compatibility/2006">
      <mc:Choice xmlns:cx1="http://schemas.microsoft.com/office/drawing/2015/9/8/chartex" Requires="cx1">
        <xdr:graphicFrame macro="">
          <xdr:nvGraphicFramePr>
            <xdr:cNvPr id="7" name="VarianceWaterfall">
              <a:extLst>
                <a:ext uri="{FF2B5EF4-FFF2-40B4-BE49-F238E27FC236}">
                  <a16:creationId xmlns:a16="http://schemas.microsoft.com/office/drawing/2014/main" id="{0FD912D1-9939-BEDA-99F1-C92C943EED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653338" y="4848225"/>
              <a:ext cx="9729787" cy="3800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16</xdr:col>
      <xdr:colOff>1006230</xdr:colOff>
      <xdr:row>21</xdr:row>
      <xdr:rowOff>7328</xdr:rowOff>
    </xdr:from>
    <xdr:to>
      <xdr:col>18</xdr:col>
      <xdr:colOff>992188</xdr:colOff>
      <xdr:row>27</xdr:row>
      <xdr:rowOff>79374</xdr:rowOff>
    </xdr:to>
    <mc:AlternateContent xmlns:mc="http://schemas.openxmlformats.org/markup-compatibility/2006">
      <mc:Choice xmlns:a14="http://schemas.microsoft.com/office/drawing/2010/main" Requires="a14">
        <xdr:graphicFrame macro="">
          <xdr:nvGraphicFramePr>
            <xdr:cNvPr id="4" name="Slicer_Status">
              <a:extLst>
                <a:ext uri="{FF2B5EF4-FFF2-40B4-BE49-F238E27FC236}">
                  <a16:creationId xmlns:a16="http://schemas.microsoft.com/office/drawing/2014/main" id="{3B12FC4E-6594-C5D1-FDE6-55A9B1D47576}"/>
                </a:ext>
              </a:extLst>
            </xdr:cNvPr>
            <xdr:cNvGraphicFramePr/>
          </xdr:nvGraphicFramePr>
          <xdr:xfrm>
            <a:off x="0" y="0"/>
            <a:ext cx="0" cy="0"/>
          </xdr:xfrm>
          <a:graphic>
            <a:graphicData uri="http://schemas.microsoft.com/office/drawing/2010/slicer">
              <sle:slicer xmlns:sle="http://schemas.microsoft.com/office/drawing/2010/slicer" name="Slicer_Status"/>
            </a:graphicData>
          </a:graphic>
        </xdr:graphicFrame>
      </mc:Choice>
      <mc:Fallback>
        <xdr:sp macro="" textlink="">
          <xdr:nvSpPr>
            <xdr:cNvPr id="0" name=""/>
            <xdr:cNvSpPr>
              <a:spLocks noTextEdit="1"/>
            </xdr:cNvSpPr>
          </xdr:nvSpPr>
          <xdr:spPr>
            <a:xfrm>
              <a:off x="15500105" y="4873016"/>
              <a:ext cx="2144958" cy="1167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nbook" refreshedDate="46132.647897453702" createdVersion="8" refreshedVersion="8" minRefreshableVersion="3" recordCount="288" xr:uid="{60EC2E8A-3CF6-410A-920D-09CAB0D510FF}">
  <cacheSource type="worksheet">
    <worksheetSource name="VarianceData"/>
  </cacheSource>
  <cacheFields count="12">
    <cacheField name="Lookup_Key" numFmtId="0">
      <sharedItems/>
    </cacheField>
    <cacheField name="Department" numFmtId="0">
      <sharedItems count="6">
        <s v="HR"/>
        <s v="Marketing"/>
        <s v="IT"/>
        <s v="Operations"/>
        <s v="Finance"/>
        <s v="Sales"/>
      </sharedItems>
    </cacheField>
    <cacheField name="Expense_Category" numFmtId="0">
      <sharedItems/>
    </cacheField>
    <cacheField name="Month_Num" numFmtId="0">
      <sharedItems containsSemiMixedTypes="0" containsString="0" containsNumber="1" containsInteger="1" minValue="1" maxValue="12"/>
    </cacheField>
    <cacheField name="Month_Name" numFmtId="0">
      <sharedItems/>
    </cacheField>
    <cacheField name="Quarter" numFmtId="0">
      <sharedItems count="4">
        <s v="Q1"/>
        <s v="Q2"/>
        <s v="Q3"/>
        <s v="Q4"/>
      </sharedItems>
    </cacheField>
    <cacheField name="Monthly_Budget (INR)" numFmtId="164">
      <sharedItems containsSemiMixedTypes="0" containsString="0" containsNumber="1" containsInteger="1" minValue="14000" maxValue="600000"/>
    </cacheField>
    <cacheField name="Actual (INR)" numFmtId="164">
      <sharedItems containsSemiMixedTypes="0" containsString="0" containsNumber="1" containsInteger="1" minValue="12800" maxValue="544000"/>
    </cacheField>
    <cacheField name="Variance (INR)" numFmtId="165">
      <sharedItems containsSemiMixedTypes="0" containsString="0" containsNumber="1" containsInteger="1" minValue="-121300" maxValue="102300"/>
    </cacheField>
    <cacheField name="Variance %" numFmtId="166">
      <sharedItems containsSemiMixedTypes="0" containsString="0" containsNumber="1" minValue="-0.28888888888888886" maxValue="0.63636363636363635"/>
    </cacheField>
    <cacheField name="Status" numFmtId="0">
      <sharedItems count="3">
        <s v="🔴 Over Budget"/>
        <s v="🟢 On Track"/>
        <s v="🟡 Under Budget"/>
      </sharedItems>
    </cacheField>
    <cacheField name="Notes" numFmtId="0">
      <sharedItems/>
    </cacheField>
  </cacheFields>
  <extLst>
    <ext xmlns:x14="http://schemas.microsoft.com/office/spreadsheetml/2009/9/main" uri="{725AE2AE-9491-48be-B2B4-4EB974FC3084}">
      <x14:pivotCacheDefinition pivotCacheId="662925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s v="HR|Payroll|1"/>
    <x v="0"/>
    <s v="Payroll"/>
    <n v="1"/>
    <s v="Jan"/>
    <x v="0"/>
    <n v="378000"/>
    <n v="437600"/>
    <n v="59600"/>
    <n v="0.15767195767195769"/>
    <x v="0"/>
    <s v="Overspend: review with dept head"/>
  </r>
  <r>
    <s v="HR|Training|1"/>
    <x v="0"/>
    <s v="Training"/>
    <n v="1"/>
    <s v="Jan"/>
    <x v="0"/>
    <n v="32000"/>
    <n v="31200"/>
    <n v="-800"/>
    <n v="-2.5000000000000001E-2"/>
    <x v="1"/>
    <s v=""/>
  </r>
  <r>
    <s v="HR|Recruitment|1"/>
    <x v="0"/>
    <s v="Recruitment"/>
    <n v="1"/>
    <s v="Jan"/>
    <x v="0"/>
    <n v="50000"/>
    <n v="56500"/>
    <n v="6500"/>
    <n v="0.13"/>
    <x v="1"/>
    <s v=""/>
  </r>
  <r>
    <s v="HR|Travel|1"/>
    <x v="0"/>
    <s v="Travel"/>
    <n v="1"/>
    <s v="Jan"/>
    <x v="0"/>
    <n v="16000"/>
    <n v="18000"/>
    <n v="2000"/>
    <n v="0.125"/>
    <x v="1"/>
    <s v=""/>
  </r>
  <r>
    <s v="Marketing|Payroll|1"/>
    <x v="1"/>
    <s v="Payroll"/>
    <n v="1"/>
    <s v="Jan"/>
    <x v="0"/>
    <n v="342000"/>
    <n v="402900"/>
    <n v="60900"/>
    <n v="0.17807017543859649"/>
    <x v="0"/>
    <s v="Overspend: review with dept head"/>
  </r>
  <r>
    <s v="Marketing|Ad Spend|1"/>
    <x v="1"/>
    <s v="Ad Spend"/>
    <n v="1"/>
    <s v="Jan"/>
    <x v="0"/>
    <n v="135000"/>
    <n v="146600"/>
    <n v="11600"/>
    <n v="8.5925925925925919E-2"/>
    <x v="1"/>
    <s v=""/>
  </r>
  <r>
    <s v="Marketing|Events|1"/>
    <x v="1"/>
    <s v="Events"/>
    <n v="1"/>
    <s v="Jan"/>
    <x v="0"/>
    <n v="63000"/>
    <n v="67400"/>
    <n v="4400"/>
    <n v="6.9841269841269843E-2"/>
    <x v="1"/>
    <s v=""/>
  </r>
  <r>
    <s v="Marketing|Travel|1"/>
    <x v="1"/>
    <s v="Travel"/>
    <n v="1"/>
    <s v="Jan"/>
    <x v="0"/>
    <n v="22000"/>
    <n v="25300"/>
    <n v="3300"/>
    <n v="0.15"/>
    <x v="1"/>
    <s v=""/>
  </r>
  <r>
    <s v="IT|Payroll|1"/>
    <x v="2"/>
    <s v="Payroll"/>
    <n v="1"/>
    <s v="Jan"/>
    <x v="0"/>
    <n v="450000"/>
    <n v="511600"/>
    <n v="61600"/>
    <n v="0.13688888888888889"/>
    <x v="1"/>
    <s v=""/>
  </r>
  <r>
    <s v="IT|Software Licenses|1"/>
    <x v="2"/>
    <s v="Software Licenses"/>
    <n v="1"/>
    <s v="Jan"/>
    <x v="0"/>
    <n v="81000"/>
    <n v="84000"/>
    <n v="3000"/>
    <n v="3.7037037037037035E-2"/>
    <x v="1"/>
    <s v=""/>
  </r>
  <r>
    <s v="IT|Hardware|1"/>
    <x v="2"/>
    <s v="Hardware"/>
    <n v="1"/>
    <s v="Jan"/>
    <x v="0"/>
    <n v="72000"/>
    <n v="83600"/>
    <n v="11600"/>
    <n v="0.16111111111111112"/>
    <x v="0"/>
    <s v="Overspend: review with dept head"/>
  </r>
  <r>
    <s v="IT|Cloud Services|1"/>
    <x v="2"/>
    <s v="Cloud Services"/>
    <n v="1"/>
    <s v="Jan"/>
    <x v="0"/>
    <n v="99000"/>
    <n v="116300"/>
    <n v="17300"/>
    <n v="0.17474747474747473"/>
    <x v="0"/>
    <s v="Overspend: review with dept head"/>
  </r>
  <r>
    <s v="Operations|Payroll|1"/>
    <x v="3"/>
    <s v="Payroll"/>
    <n v="1"/>
    <s v="Jan"/>
    <x v="0"/>
    <n v="315000"/>
    <n v="383800"/>
    <n v="68800"/>
    <n v="0.21841269841269842"/>
    <x v="0"/>
    <s v="Overspend: review with dept head"/>
  </r>
  <r>
    <s v="Operations|Logistics|1"/>
    <x v="3"/>
    <s v="Logistics"/>
    <n v="1"/>
    <s v="Jan"/>
    <x v="0"/>
    <n v="54000"/>
    <n v="38900"/>
    <n v="-15100"/>
    <n v="-0.27962962962962962"/>
    <x v="2"/>
    <s v="Underspend: check if deferred"/>
  </r>
  <r>
    <s v="Operations|Maintenance|1"/>
    <x v="3"/>
    <s v="Maintenance"/>
    <n v="1"/>
    <s v="Jan"/>
    <x v="0"/>
    <n v="40000"/>
    <n v="40100"/>
    <n v="100"/>
    <n v="2.5000000000000001E-3"/>
    <x v="1"/>
    <s v=""/>
  </r>
  <r>
    <s v="Operations|Travel|1"/>
    <x v="3"/>
    <s v="Travel"/>
    <n v="1"/>
    <s v="Jan"/>
    <x v="0"/>
    <n v="18000"/>
    <n v="23000"/>
    <n v="5000"/>
    <n v="0.27777777777777779"/>
    <x v="0"/>
    <s v="Overspend: review with dept head"/>
  </r>
  <r>
    <s v="Finance|Payroll|1"/>
    <x v="4"/>
    <s v="Payroll"/>
    <n v="1"/>
    <s v="Jan"/>
    <x v="0"/>
    <n v="261000"/>
    <n v="321400"/>
    <n v="60400"/>
    <n v="0.23141762452107278"/>
    <x v="0"/>
    <s v="Overspend: review with dept head"/>
  </r>
  <r>
    <s v="Finance|Audit Fees|1"/>
    <x v="4"/>
    <s v="Audit Fees"/>
    <n v="1"/>
    <s v="Jan"/>
    <x v="0"/>
    <n v="36000"/>
    <n v="41200"/>
    <n v="5200"/>
    <n v="0.14444444444444443"/>
    <x v="1"/>
    <s v=""/>
  </r>
  <r>
    <s v="Finance|Software Licenses|1"/>
    <x v="4"/>
    <s v="Software Licenses"/>
    <n v="1"/>
    <s v="Jan"/>
    <x v="0"/>
    <n v="27000"/>
    <n v="33200"/>
    <n v="6200"/>
    <n v="0.22962962962962963"/>
    <x v="0"/>
    <s v="Overspend: review with dept head"/>
  </r>
  <r>
    <s v="Finance|Training|1"/>
    <x v="4"/>
    <s v="Training"/>
    <n v="1"/>
    <s v="Jan"/>
    <x v="0"/>
    <n v="14000"/>
    <n v="16800"/>
    <n v="2800"/>
    <n v="0.2"/>
    <x v="0"/>
    <s v="Overspend: review with dept head"/>
  </r>
  <r>
    <s v="Sales|Payroll|1"/>
    <x v="5"/>
    <s v="Payroll"/>
    <n v="1"/>
    <s v="Jan"/>
    <x v="0"/>
    <n v="369000"/>
    <n v="404300"/>
    <n v="35300"/>
    <n v="9.5663956639566394E-2"/>
    <x v="1"/>
    <s v=""/>
  </r>
  <r>
    <s v="Sales|Commissions|1"/>
    <x v="5"/>
    <s v="Commissions"/>
    <n v="1"/>
    <s v="Jan"/>
    <x v="0"/>
    <n v="180000"/>
    <n v="187900"/>
    <n v="7900"/>
    <n v="4.3888888888888887E-2"/>
    <x v="1"/>
    <s v=""/>
  </r>
  <r>
    <s v="Sales|Travel|1"/>
    <x v="5"/>
    <s v="Travel"/>
    <n v="1"/>
    <s v="Jan"/>
    <x v="0"/>
    <n v="50000"/>
    <n v="56600"/>
    <n v="6600"/>
    <n v="0.13200000000000001"/>
    <x v="1"/>
    <s v=""/>
  </r>
  <r>
    <s v="Sales|Entertainment|1"/>
    <x v="5"/>
    <s v="Entertainment"/>
    <n v="1"/>
    <s v="Jan"/>
    <x v="0"/>
    <n v="27000"/>
    <n v="27800"/>
    <n v="800"/>
    <n v="2.9629629629629631E-2"/>
    <x v="1"/>
    <s v=""/>
  </r>
  <r>
    <s v="HR|Payroll|2"/>
    <x v="0"/>
    <s v="Payroll"/>
    <n v="2"/>
    <s v="Feb"/>
    <x v="0"/>
    <n v="378000"/>
    <n v="440100"/>
    <n v="62100"/>
    <n v="0.16428571428571428"/>
    <x v="0"/>
    <s v="Overspend: review with dept head"/>
  </r>
  <r>
    <s v="HR|Training|2"/>
    <x v="0"/>
    <s v="Training"/>
    <n v="2"/>
    <s v="Feb"/>
    <x v="0"/>
    <n v="32000"/>
    <n v="31900"/>
    <n v="-100"/>
    <n v="-3.1250000000000002E-3"/>
    <x v="1"/>
    <s v=""/>
  </r>
  <r>
    <s v="HR|Recruitment|2"/>
    <x v="0"/>
    <s v="Recruitment"/>
    <n v="2"/>
    <s v="Feb"/>
    <x v="0"/>
    <n v="50000"/>
    <n v="54200"/>
    <n v="4200"/>
    <n v="8.4000000000000005E-2"/>
    <x v="1"/>
    <s v=""/>
  </r>
  <r>
    <s v="HR|Travel|2"/>
    <x v="0"/>
    <s v="Travel"/>
    <n v="2"/>
    <s v="Feb"/>
    <x v="0"/>
    <n v="16000"/>
    <n v="18500"/>
    <n v="2500"/>
    <n v="0.15625"/>
    <x v="0"/>
    <s v="Overspend: review with dept head"/>
  </r>
  <r>
    <s v="Marketing|Payroll|2"/>
    <x v="1"/>
    <s v="Payroll"/>
    <n v="2"/>
    <s v="Feb"/>
    <x v="0"/>
    <n v="342000"/>
    <n v="403700"/>
    <n v="61700"/>
    <n v="0.18040935672514619"/>
    <x v="0"/>
    <s v="Overspend: review with dept head"/>
  </r>
  <r>
    <s v="Marketing|Ad Spend|2"/>
    <x v="1"/>
    <s v="Ad Spend"/>
    <n v="2"/>
    <s v="Feb"/>
    <x v="0"/>
    <n v="135000"/>
    <n v="130700"/>
    <n v="-4300"/>
    <n v="-3.1851851851851853E-2"/>
    <x v="1"/>
    <s v=""/>
  </r>
  <r>
    <s v="Marketing|Events|2"/>
    <x v="1"/>
    <s v="Events"/>
    <n v="2"/>
    <s v="Feb"/>
    <x v="0"/>
    <n v="63000"/>
    <n v="70900"/>
    <n v="7900"/>
    <n v="0.1253968253968254"/>
    <x v="1"/>
    <s v=""/>
  </r>
  <r>
    <s v="Marketing|Travel|2"/>
    <x v="1"/>
    <s v="Travel"/>
    <n v="2"/>
    <s v="Feb"/>
    <x v="0"/>
    <n v="22000"/>
    <n v="21900"/>
    <n v="-100"/>
    <n v="-4.5454545454545452E-3"/>
    <x v="1"/>
    <s v=""/>
  </r>
  <r>
    <s v="IT|Payroll|2"/>
    <x v="2"/>
    <s v="Payroll"/>
    <n v="2"/>
    <s v="Feb"/>
    <x v="0"/>
    <n v="450000"/>
    <n v="523000"/>
    <n v="73000"/>
    <n v="0.16222222222222221"/>
    <x v="0"/>
    <s v="Overspend: review with dept head"/>
  </r>
  <r>
    <s v="IT|Software Licenses|2"/>
    <x v="2"/>
    <s v="Software Licenses"/>
    <n v="2"/>
    <s v="Feb"/>
    <x v="0"/>
    <n v="81000"/>
    <n v="91000"/>
    <n v="10000"/>
    <n v="0.12345679012345678"/>
    <x v="1"/>
    <s v=""/>
  </r>
  <r>
    <s v="IT|Hardware|2"/>
    <x v="2"/>
    <s v="Hardware"/>
    <n v="2"/>
    <s v="Feb"/>
    <x v="0"/>
    <n v="72000"/>
    <n v="74000"/>
    <n v="2000"/>
    <n v="2.7777777777777776E-2"/>
    <x v="1"/>
    <s v=""/>
  </r>
  <r>
    <s v="IT|Cloud Services|2"/>
    <x v="2"/>
    <s v="Cloud Services"/>
    <n v="2"/>
    <s v="Feb"/>
    <x v="0"/>
    <n v="99000"/>
    <n v="95300"/>
    <n v="-3700"/>
    <n v="-3.7373737373737372E-2"/>
    <x v="1"/>
    <s v=""/>
  </r>
  <r>
    <s v="Operations|Payroll|2"/>
    <x v="3"/>
    <s v="Payroll"/>
    <n v="2"/>
    <s v="Feb"/>
    <x v="0"/>
    <n v="315000"/>
    <n v="348100"/>
    <n v="33100"/>
    <n v="0.10507936507936508"/>
    <x v="1"/>
    <s v=""/>
  </r>
  <r>
    <s v="Operations|Logistics|2"/>
    <x v="3"/>
    <s v="Logistics"/>
    <n v="2"/>
    <s v="Feb"/>
    <x v="0"/>
    <n v="54000"/>
    <n v="42000"/>
    <n v="-12000"/>
    <n v="-0.22222222222222221"/>
    <x v="2"/>
    <s v="Underspend: check if deferred"/>
  </r>
  <r>
    <s v="Operations|Maintenance|2"/>
    <x v="3"/>
    <s v="Maintenance"/>
    <n v="2"/>
    <s v="Feb"/>
    <x v="0"/>
    <n v="40000"/>
    <n v="47900"/>
    <n v="7900"/>
    <n v="0.19750000000000001"/>
    <x v="0"/>
    <s v="Overspend: review with dept head"/>
  </r>
  <r>
    <s v="Operations|Travel|2"/>
    <x v="3"/>
    <s v="Travel"/>
    <n v="2"/>
    <s v="Feb"/>
    <x v="0"/>
    <n v="18000"/>
    <n v="20500"/>
    <n v="2500"/>
    <n v="0.1388888888888889"/>
    <x v="1"/>
    <s v=""/>
  </r>
  <r>
    <s v="Finance|Payroll|2"/>
    <x v="4"/>
    <s v="Payroll"/>
    <n v="2"/>
    <s v="Feb"/>
    <x v="0"/>
    <n v="261000"/>
    <n v="251400"/>
    <n v="-9600"/>
    <n v="-3.6781609195402298E-2"/>
    <x v="1"/>
    <s v=""/>
  </r>
  <r>
    <s v="Finance|Audit Fees|2"/>
    <x v="4"/>
    <s v="Audit Fees"/>
    <n v="2"/>
    <s v="Feb"/>
    <x v="0"/>
    <n v="36000"/>
    <n v="45300"/>
    <n v="9300"/>
    <n v="0.25833333333333336"/>
    <x v="0"/>
    <s v="Overspend: review with dept head"/>
  </r>
  <r>
    <s v="Finance|Software Licenses|2"/>
    <x v="4"/>
    <s v="Software Licenses"/>
    <n v="2"/>
    <s v="Feb"/>
    <x v="0"/>
    <n v="27000"/>
    <n v="30300"/>
    <n v="3300"/>
    <n v="0.12222222222222222"/>
    <x v="1"/>
    <s v=""/>
  </r>
  <r>
    <s v="Finance|Training|2"/>
    <x v="4"/>
    <s v="Training"/>
    <n v="2"/>
    <s v="Feb"/>
    <x v="0"/>
    <n v="14000"/>
    <n v="13300"/>
    <n v="-700"/>
    <n v="-0.05"/>
    <x v="1"/>
    <s v=""/>
  </r>
  <r>
    <s v="Sales|Payroll|2"/>
    <x v="5"/>
    <s v="Payroll"/>
    <n v="2"/>
    <s v="Feb"/>
    <x v="0"/>
    <n v="369000"/>
    <n v="471300"/>
    <n v="102300"/>
    <n v="0.27723577235772356"/>
    <x v="0"/>
    <s v="Overspend: review with dept head"/>
  </r>
  <r>
    <s v="Sales|Commissions|2"/>
    <x v="5"/>
    <s v="Commissions"/>
    <n v="2"/>
    <s v="Feb"/>
    <x v="0"/>
    <n v="180000"/>
    <n v="185900"/>
    <n v="5900"/>
    <n v="3.2777777777777781E-2"/>
    <x v="1"/>
    <s v=""/>
  </r>
  <r>
    <s v="Sales|Travel|2"/>
    <x v="5"/>
    <s v="Travel"/>
    <n v="2"/>
    <s v="Feb"/>
    <x v="0"/>
    <n v="50000"/>
    <n v="54000"/>
    <n v="4000"/>
    <n v="0.08"/>
    <x v="1"/>
    <s v=""/>
  </r>
  <r>
    <s v="Sales|Entertainment|2"/>
    <x v="5"/>
    <s v="Entertainment"/>
    <n v="2"/>
    <s v="Feb"/>
    <x v="0"/>
    <n v="27000"/>
    <n v="32800"/>
    <n v="5800"/>
    <n v="0.21481481481481482"/>
    <x v="0"/>
    <s v="Overspend: review with dept head"/>
  </r>
  <r>
    <s v="HR|Payroll|3"/>
    <x v="0"/>
    <s v="Payroll"/>
    <n v="3"/>
    <s v="Mar"/>
    <x v="0"/>
    <n v="462000"/>
    <n v="469200"/>
    <n v="7200"/>
    <n v="1.5584415584415584E-2"/>
    <x v="1"/>
    <s v=""/>
  </r>
  <r>
    <s v="HR|Training|3"/>
    <x v="0"/>
    <s v="Training"/>
    <n v="3"/>
    <s v="Mar"/>
    <x v="0"/>
    <n v="38000"/>
    <n v="36400"/>
    <n v="-1600"/>
    <n v="-4.2105263157894736E-2"/>
    <x v="1"/>
    <s v=""/>
  </r>
  <r>
    <s v="HR|Recruitment|3"/>
    <x v="0"/>
    <s v="Recruitment"/>
    <n v="3"/>
    <s v="Mar"/>
    <x v="0"/>
    <n v="61000"/>
    <n v="53800"/>
    <n v="-7200"/>
    <n v="-0.11803278688524591"/>
    <x v="2"/>
    <s v="Underspend: check if deferred"/>
  </r>
  <r>
    <s v="HR|Travel|3"/>
    <x v="0"/>
    <s v="Travel"/>
    <n v="3"/>
    <s v="Mar"/>
    <x v="0"/>
    <n v="20000"/>
    <n v="16200"/>
    <n v="-3800"/>
    <n v="-0.19"/>
    <x v="2"/>
    <s v="Underspend: check if deferred"/>
  </r>
  <r>
    <s v="Marketing|Payroll|3"/>
    <x v="1"/>
    <s v="Payroll"/>
    <n v="3"/>
    <s v="Mar"/>
    <x v="0"/>
    <n v="418000"/>
    <n v="430800"/>
    <n v="12800"/>
    <n v="3.0622009569377991E-2"/>
    <x v="1"/>
    <s v=""/>
  </r>
  <r>
    <s v="Marketing|Ad Spend|3"/>
    <x v="1"/>
    <s v="Ad Spend"/>
    <n v="3"/>
    <s v="Mar"/>
    <x v="0"/>
    <n v="165000"/>
    <n v="133200"/>
    <n v="-31800"/>
    <n v="-0.19272727272727272"/>
    <x v="2"/>
    <s v="Underspend: check if deferred"/>
  </r>
  <r>
    <s v="Marketing|Events|3"/>
    <x v="1"/>
    <s v="Events"/>
    <n v="3"/>
    <s v="Mar"/>
    <x v="0"/>
    <n v="77000"/>
    <n v="73900"/>
    <n v="-3100"/>
    <n v="-4.0259740259740259E-2"/>
    <x v="1"/>
    <s v=""/>
  </r>
  <r>
    <s v="Marketing|Travel|3"/>
    <x v="1"/>
    <s v="Travel"/>
    <n v="3"/>
    <s v="Mar"/>
    <x v="0"/>
    <n v="28000"/>
    <n v="28200"/>
    <n v="200"/>
    <n v="7.1428571428571426E-3"/>
    <x v="1"/>
    <s v=""/>
  </r>
  <r>
    <s v="IT|Payroll|3"/>
    <x v="2"/>
    <s v="Payroll"/>
    <n v="3"/>
    <s v="Mar"/>
    <x v="0"/>
    <n v="550000"/>
    <n v="428700"/>
    <n v="-121300"/>
    <n v="-0.22054545454545454"/>
    <x v="2"/>
    <s v="Underspend: check if deferred"/>
  </r>
  <r>
    <s v="IT|Software Licenses|3"/>
    <x v="2"/>
    <s v="Software Licenses"/>
    <n v="3"/>
    <s v="Mar"/>
    <x v="0"/>
    <n v="99000"/>
    <n v="80700"/>
    <n v="-18300"/>
    <n v="-0.18484848484848485"/>
    <x v="2"/>
    <s v="Underspend: check if deferred"/>
  </r>
  <r>
    <s v="IT|Hardware|3"/>
    <x v="2"/>
    <s v="Hardware"/>
    <n v="3"/>
    <s v="Mar"/>
    <x v="0"/>
    <n v="88000"/>
    <n v="75300"/>
    <n v="-12700"/>
    <n v="-0.14431818181818182"/>
    <x v="2"/>
    <s v="Underspend: check if deferred"/>
  </r>
  <r>
    <s v="IT|Cloud Services|3"/>
    <x v="2"/>
    <s v="Cloud Services"/>
    <n v="3"/>
    <s v="Mar"/>
    <x v="0"/>
    <n v="121000"/>
    <n v="106600"/>
    <n v="-14400"/>
    <n v="-0.11900826446280992"/>
    <x v="2"/>
    <s v="Underspend: check if deferred"/>
  </r>
  <r>
    <s v="Operations|Payroll|3"/>
    <x v="3"/>
    <s v="Payroll"/>
    <n v="3"/>
    <s v="Mar"/>
    <x v="0"/>
    <n v="385000"/>
    <n v="351000"/>
    <n v="-34000"/>
    <n v="-8.8311688311688313E-2"/>
    <x v="1"/>
    <s v=""/>
  </r>
  <r>
    <s v="Operations|Logistics|3"/>
    <x v="3"/>
    <s v="Logistics"/>
    <n v="3"/>
    <s v="Mar"/>
    <x v="0"/>
    <n v="66000"/>
    <n v="68300"/>
    <n v="2300"/>
    <n v="3.4848484848484851E-2"/>
    <x v="1"/>
    <s v=""/>
  </r>
  <r>
    <s v="Operations|Maintenance|3"/>
    <x v="3"/>
    <s v="Maintenance"/>
    <n v="3"/>
    <s v="Mar"/>
    <x v="0"/>
    <n v="50000"/>
    <n v="44100"/>
    <n v="-5900"/>
    <n v="-0.11799999999999999"/>
    <x v="2"/>
    <s v="Underspend: check if deferred"/>
  </r>
  <r>
    <s v="Operations|Travel|3"/>
    <x v="3"/>
    <s v="Travel"/>
    <n v="3"/>
    <s v="Mar"/>
    <x v="0"/>
    <n v="22000"/>
    <n v="20100"/>
    <n v="-1900"/>
    <n v="-8.6363636363636365E-2"/>
    <x v="1"/>
    <s v=""/>
  </r>
  <r>
    <s v="Finance|Payroll|3"/>
    <x v="4"/>
    <s v="Payroll"/>
    <n v="3"/>
    <s v="Mar"/>
    <x v="0"/>
    <n v="319000"/>
    <n v="329100"/>
    <n v="10100"/>
    <n v="3.1661442006269594E-2"/>
    <x v="1"/>
    <s v=""/>
  </r>
  <r>
    <s v="Finance|Audit Fees|3"/>
    <x v="4"/>
    <s v="Audit Fees"/>
    <n v="3"/>
    <s v="Mar"/>
    <x v="0"/>
    <n v="44000"/>
    <n v="72000"/>
    <n v="28000"/>
    <n v="0.63636363636363635"/>
    <x v="0"/>
    <s v="Overspend: review with dept head"/>
  </r>
  <r>
    <s v="Finance|Software Licenses|3"/>
    <x v="4"/>
    <s v="Software Licenses"/>
    <n v="3"/>
    <s v="Mar"/>
    <x v="0"/>
    <n v="33000"/>
    <n v="34000"/>
    <n v="1000"/>
    <n v="3.0303030303030304E-2"/>
    <x v="1"/>
    <s v=""/>
  </r>
  <r>
    <s v="Finance|Training|3"/>
    <x v="4"/>
    <s v="Training"/>
    <n v="3"/>
    <s v="Mar"/>
    <x v="0"/>
    <n v="16000"/>
    <n v="14000"/>
    <n v="-2000"/>
    <n v="-0.125"/>
    <x v="2"/>
    <s v="Underspend: check if deferred"/>
  </r>
  <r>
    <s v="Sales|Payroll|3"/>
    <x v="5"/>
    <s v="Payroll"/>
    <n v="3"/>
    <s v="Mar"/>
    <x v="0"/>
    <n v="451000"/>
    <n v="402800"/>
    <n v="-48200"/>
    <n v="-0.10687361419068736"/>
    <x v="2"/>
    <s v="Underspend: check if deferred"/>
  </r>
  <r>
    <s v="Sales|Commissions|3"/>
    <x v="5"/>
    <s v="Commissions"/>
    <n v="3"/>
    <s v="Mar"/>
    <x v="0"/>
    <n v="220000"/>
    <n v="209500"/>
    <n v="-10500"/>
    <n v="-4.7727272727272729E-2"/>
    <x v="1"/>
    <s v=""/>
  </r>
  <r>
    <s v="Sales|Travel|3"/>
    <x v="5"/>
    <s v="Travel"/>
    <n v="3"/>
    <s v="Mar"/>
    <x v="0"/>
    <n v="61000"/>
    <n v="57900"/>
    <n v="-3100"/>
    <n v="-5.0819672131147541E-2"/>
    <x v="1"/>
    <s v=""/>
  </r>
  <r>
    <s v="Sales|Entertainment|3"/>
    <x v="5"/>
    <s v="Entertainment"/>
    <n v="3"/>
    <s v="Mar"/>
    <x v="0"/>
    <n v="33000"/>
    <n v="25900"/>
    <n v="-7100"/>
    <n v="-0.21515151515151515"/>
    <x v="2"/>
    <s v="Underspend: check if deferred"/>
  </r>
  <r>
    <s v="HR|Payroll|4"/>
    <x v="0"/>
    <s v="Payroll"/>
    <n v="4"/>
    <s v="Apr"/>
    <x v="1"/>
    <n v="420000"/>
    <n v="429600"/>
    <n v="9600"/>
    <n v="2.2857142857142857E-2"/>
    <x v="1"/>
    <s v=""/>
  </r>
  <r>
    <s v="HR|Training|4"/>
    <x v="0"/>
    <s v="Training"/>
    <n v="4"/>
    <s v="Apr"/>
    <x v="1"/>
    <n v="35000"/>
    <n v="38000"/>
    <n v="3000"/>
    <n v="8.5714285714285715E-2"/>
    <x v="1"/>
    <s v=""/>
  </r>
  <r>
    <s v="HR|Recruitment|4"/>
    <x v="0"/>
    <s v="Recruitment"/>
    <n v="4"/>
    <s v="Apr"/>
    <x v="1"/>
    <n v="55000"/>
    <n v="54500"/>
    <n v="-500"/>
    <n v="-9.0909090909090905E-3"/>
    <x v="1"/>
    <s v=""/>
  </r>
  <r>
    <s v="HR|Travel|4"/>
    <x v="0"/>
    <s v="Travel"/>
    <n v="4"/>
    <s v="Apr"/>
    <x v="1"/>
    <n v="18000"/>
    <n v="18500"/>
    <n v="500"/>
    <n v="2.7777777777777776E-2"/>
    <x v="1"/>
    <s v=""/>
  </r>
  <r>
    <s v="Marketing|Payroll|4"/>
    <x v="1"/>
    <s v="Payroll"/>
    <n v="4"/>
    <s v="Apr"/>
    <x v="1"/>
    <n v="380000"/>
    <n v="373800"/>
    <n v="-6200"/>
    <n v="-1.6315789473684211E-2"/>
    <x v="1"/>
    <s v=""/>
  </r>
  <r>
    <s v="Marketing|Ad Spend|4"/>
    <x v="1"/>
    <s v="Ad Spend"/>
    <n v="4"/>
    <s v="Apr"/>
    <x v="1"/>
    <n v="150000"/>
    <n v="217500"/>
    <n v="67500"/>
    <n v="0.45"/>
    <x v="0"/>
    <s v="Overspend: review with dept head"/>
  </r>
  <r>
    <s v="Marketing|Events|4"/>
    <x v="1"/>
    <s v="Events"/>
    <n v="4"/>
    <s v="Apr"/>
    <x v="1"/>
    <n v="70000"/>
    <n v="69600"/>
    <n v="-400"/>
    <n v="-5.7142857142857143E-3"/>
    <x v="1"/>
    <s v=""/>
  </r>
  <r>
    <s v="Marketing|Travel|4"/>
    <x v="1"/>
    <s v="Travel"/>
    <n v="4"/>
    <s v="Apr"/>
    <x v="1"/>
    <n v="25000"/>
    <n v="23400"/>
    <n v="-1600"/>
    <n v="-6.4000000000000001E-2"/>
    <x v="1"/>
    <s v=""/>
  </r>
  <r>
    <s v="IT|Payroll|4"/>
    <x v="2"/>
    <s v="Payroll"/>
    <n v="4"/>
    <s v="Apr"/>
    <x v="1"/>
    <n v="500000"/>
    <n v="459700"/>
    <n v="-40300"/>
    <n v="-8.0600000000000005E-2"/>
    <x v="1"/>
    <s v=""/>
  </r>
  <r>
    <s v="IT|Software Licenses|4"/>
    <x v="2"/>
    <s v="Software Licenses"/>
    <n v="4"/>
    <s v="Apr"/>
    <x v="1"/>
    <n v="90000"/>
    <n v="78100"/>
    <n v="-11900"/>
    <n v="-0.13222222222222221"/>
    <x v="2"/>
    <s v="Underspend: check if deferred"/>
  </r>
  <r>
    <s v="IT|Hardware|4"/>
    <x v="2"/>
    <s v="Hardware"/>
    <n v="4"/>
    <s v="Apr"/>
    <x v="1"/>
    <n v="80000"/>
    <n v="77100"/>
    <n v="-2900"/>
    <n v="-3.6249999999999998E-2"/>
    <x v="1"/>
    <s v=""/>
  </r>
  <r>
    <s v="IT|Cloud Services|4"/>
    <x v="2"/>
    <s v="Cloud Services"/>
    <n v="4"/>
    <s v="Apr"/>
    <x v="1"/>
    <n v="110000"/>
    <n v="121700"/>
    <n v="11700"/>
    <n v="0.10636363636363637"/>
    <x v="1"/>
    <s v=""/>
  </r>
  <r>
    <s v="Operations|Payroll|4"/>
    <x v="3"/>
    <s v="Payroll"/>
    <n v="4"/>
    <s v="Apr"/>
    <x v="1"/>
    <n v="350000"/>
    <n v="320500"/>
    <n v="-29500"/>
    <n v="-8.4285714285714283E-2"/>
    <x v="1"/>
    <s v=""/>
  </r>
  <r>
    <s v="Operations|Logistics|4"/>
    <x v="3"/>
    <s v="Logistics"/>
    <n v="4"/>
    <s v="Apr"/>
    <x v="1"/>
    <n v="60000"/>
    <n v="64000"/>
    <n v="4000"/>
    <n v="6.6666666666666666E-2"/>
    <x v="1"/>
    <s v=""/>
  </r>
  <r>
    <s v="Operations|Maintenance|4"/>
    <x v="3"/>
    <s v="Maintenance"/>
    <n v="4"/>
    <s v="Apr"/>
    <x v="1"/>
    <n v="45000"/>
    <n v="46200"/>
    <n v="1200"/>
    <n v="2.6666666666666668E-2"/>
    <x v="1"/>
    <s v=""/>
  </r>
  <r>
    <s v="Operations|Travel|4"/>
    <x v="3"/>
    <s v="Travel"/>
    <n v="4"/>
    <s v="Apr"/>
    <x v="1"/>
    <n v="20000"/>
    <n v="19300"/>
    <n v="-700"/>
    <n v="-3.5000000000000003E-2"/>
    <x v="1"/>
    <s v=""/>
  </r>
  <r>
    <s v="Finance|Payroll|4"/>
    <x v="4"/>
    <s v="Payroll"/>
    <n v="4"/>
    <s v="Apr"/>
    <x v="1"/>
    <n v="290000"/>
    <n v="270700"/>
    <n v="-19300"/>
    <n v="-6.6551724137931034E-2"/>
    <x v="1"/>
    <s v=""/>
  </r>
  <r>
    <s v="Finance|Audit Fees|4"/>
    <x v="4"/>
    <s v="Audit Fees"/>
    <n v="4"/>
    <s v="Apr"/>
    <x v="1"/>
    <n v="40000"/>
    <n v="34700"/>
    <n v="-5300"/>
    <n v="-0.13250000000000001"/>
    <x v="2"/>
    <s v="Underspend: check if deferred"/>
  </r>
  <r>
    <s v="Finance|Software Licenses|4"/>
    <x v="4"/>
    <s v="Software Licenses"/>
    <n v="4"/>
    <s v="Apr"/>
    <x v="1"/>
    <n v="30000"/>
    <n v="34100"/>
    <n v="4100"/>
    <n v="0.13666666666666666"/>
    <x v="1"/>
    <s v=""/>
  </r>
  <r>
    <s v="Finance|Training|4"/>
    <x v="4"/>
    <s v="Training"/>
    <n v="4"/>
    <s v="Apr"/>
    <x v="1"/>
    <n v="15000"/>
    <n v="13900"/>
    <n v="-1100"/>
    <n v="-7.3333333333333334E-2"/>
    <x v="1"/>
    <s v=""/>
  </r>
  <r>
    <s v="Sales|Payroll|4"/>
    <x v="5"/>
    <s v="Payroll"/>
    <n v="4"/>
    <s v="Apr"/>
    <x v="1"/>
    <n v="410000"/>
    <n v="380100"/>
    <n v="-29900"/>
    <n v="-7.2926829268292678E-2"/>
    <x v="1"/>
    <s v=""/>
  </r>
  <r>
    <s v="Sales|Commissions|4"/>
    <x v="5"/>
    <s v="Commissions"/>
    <n v="4"/>
    <s v="Apr"/>
    <x v="1"/>
    <n v="200000"/>
    <n v="216600"/>
    <n v="16600"/>
    <n v="8.3000000000000004E-2"/>
    <x v="1"/>
    <s v=""/>
  </r>
  <r>
    <s v="Sales|Travel|4"/>
    <x v="5"/>
    <s v="Travel"/>
    <n v="4"/>
    <s v="Apr"/>
    <x v="1"/>
    <n v="55000"/>
    <n v="47200"/>
    <n v="-7800"/>
    <n v="-0.14181818181818182"/>
    <x v="2"/>
    <s v="Underspend: check if deferred"/>
  </r>
  <r>
    <s v="Sales|Entertainment|4"/>
    <x v="5"/>
    <s v="Entertainment"/>
    <n v="4"/>
    <s v="Apr"/>
    <x v="1"/>
    <n v="30000"/>
    <n v="27200"/>
    <n v="-2800"/>
    <n v="-9.3333333333333338E-2"/>
    <x v="1"/>
    <s v=""/>
  </r>
  <r>
    <s v="HR|Payroll|5"/>
    <x v="0"/>
    <s v="Payroll"/>
    <n v="5"/>
    <s v="May"/>
    <x v="1"/>
    <n v="420000"/>
    <n v="457300"/>
    <n v="37300"/>
    <n v="8.880952380952381E-2"/>
    <x v="1"/>
    <s v=""/>
  </r>
  <r>
    <s v="HR|Training|5"/>
    <x v="0"/>
    <s v="Training"/>
    <n v="5"/>
    <s v="May"/>
    <x v="1"/>
    <n v="35000"/>
    <n v="33300"/>
    <n v="-1700"/>
    <n v="-4.8571428571428571E-2"/>
    <x v="1"/>
    <s v=""/>
  </r>
  <r>
    <s v="HR|Recruitment|5"/>
    <x v="0"/>
    <s v="Recruitment"/>
    <n v="5"/>
    <s v="May"/>
    <x v="1"/>
    <n v="55000"/>
    <n v="58400"/>
    <n v="3400"/>
    <n v="6.1818181818181821E-2"/>
    <x v="1"/>
    <s v=""/>
  </r>
  <r>
    <s v="HR|Travel|5"/>
    <x v="0"/>
    <s v="Travel"/>
    <n v="5"/>
    <s v="May"/>
    <x v="1"/>
    <n v="18000"/>
    <n v="19600"/>
    <n v="1600"/>
    <n v="8.8888888888888892E-2"/>
    <x v="1"/>
    <s v=""/>
  </r>
  <r>
    <s v="Marketing|Payroll|5"/>
    <x v="1"/>
    <s v="Payroll"/>
    <n v="5"/>
    <s v="May"/>
    <x v="1"/>
    <n v="380000"/>
    <n v="417700"/>
    <n v="37700"/>
    <n v="9.9210526315789471E-2"/>
    <x v="1"/>
    <s v=""/>
  </r>
  <r>
    <s v="Marketing|Ad Spend|5"/>
    <x v="1"/>
    <s v="Ad Spend"/>
    <n v="5"/>
    <s v="May"/>
    <x v="1"/>
    <n v="150000"/>
    <n v="207000"/>
    <n v="57000"/>
    <n v="0.38"/>
    <x v="0"/>
    <s v="Overspend: review with dept head"/>
  </r>
  <r>
    <s v="Marketing|Events|5"/>
    <x v="1"/>
    <s v="Events"/>
    <n v="5"/>
    <s v="May"/>
    <x v="1"/>
    <n v="70000"/>
    <n v="67000"/>
    <n v="-3000"/>
    <n v="-4.2857142857142858E-2"/>
    <x v="1"/>
    <s v=""/>
  </r>
  <r>
    <s v="Marketing|Travel|5"/>
    <x v="1"/>
    <s v="Travel"/>
    <n v="5"/>
    <s v="May"/>
    <x v="1"/>
    <n v="25000"/>
    <n v="21300"/>
    <n v="-3700"/>
    <n v="-0.14799999999999999"/>
    <x v="2"/>
    <s v="Underspend: check if deferred"/>
  </r>
  <r>
    <s v="IT|Payroll|5"/>
    <x v="2"/>
    <s v="Payroll"/>
    <n v="5"/>
    <s v="May"/>
    <x v="1"/>
    <n v="500000"/>
    <n v="498300"/>
    <n v="-1700"/>
    <n v="-3.3999999999999998E-3"/>
    <x v="1"/>
    <s v=""/>
  </r>
  <r>
    <s v="IT|Software Licenses|5"/>
    <x v="2"/>
    <s v="Software Licenses"/>
    <n v="5"/>
    <s v="May"/>
    <x v="1"/>
    <n v="90000"/>
    <n v="89800"/>
    <n v="-200"/>
    <n v="-2.2222222222222222E-3"/>
    <x v="1"/>
    <s v=""/>
  </r>
  <r>
    <s v="IT|Hardware|5"/>
    <x v="2"/>
    <s v="Hardware"/>
    <n v="5"/>
    <s v="May"/>
    <x v="1"/>
    <n v="80000"/>
    <n v="84600"/>
    <n v="4600"/>
    <n v="5.7500000000000002E-2"/>
    <x v="1"/>
    <s v=""/>
  </r>
  <r>
    <s v="IT|Cloud Services|5"/>
    <x v="2"/>
    <s v="Cloud Services"/>
    <n v="5"/>
    <s v="May"/>
    <x v="1"/>
    <n v="110000"/>
    <n v="107600"/>
    <n v="-2400"/>
    <n v="-2.181818181818182E-2"/>
    <x v="1"/>
    <s v=""/>
  </r>
  <r>
    <s v="Operations|Payroll|5"/>
    <x v="3"/>
    <s v="Payroll"/>
    <n v="5"/>
    <s v="May"/>
    <x v="1"/>
    <n v="350000"/>
    <n v="373200"/>
    <n v="23200"/>
    <n v="6.6285714285714281E-2"/>
    <x v="1"/>
    <s v=""/>
  </r>
  <r>
    <s v="Operations|Logistics|5"/>
    <x v="3"/>
    <s v="Logistics"/>
    <n v="5"/>
    <s v="May"/>
    <x v="1"/>
    <n v="60000"/>
    <n v="54900"/>
    <n v="-5100"/>
    <n v="-8.5000000000000006E-2"/>
    <x v="1"/>
    <s v=""/>
  </r>
  <r>
    <s v="Operations|Maintenance|5"/>
    <x v="3"/>
    <s v="Maintenance"/>
    <n v="5"/>
    <s v="May"/>
    <x v="1"/>
    <n v="45000"/>
    <n v="51500"/>
    <n v="6500"/>
    <n v="0.14444444444444443"/>
    <x v="1"/>
    <s v=""/>
  </r>
  <r>
    <s v="Operations|Travel|5"/>
    <x v="3"/>
    <s v="Travel"/>
    <n v="5"/>
    <s v="May"/>
    <x v="1"/>
    <n v="20000"/>
    <n v="18900"/>
    <n v="-1100"/>
    <n v="-5.5E-2"/>
    <x v="1"/>
    <s v=""/>
  </r>
  <r>
    <s v="Finance|Payroll|5"/>
    <x v="4"/>
    <s v="Payroll"/>
    <n v="5"/>
    <s v="May"/>
    <x v="1"/>
    <n v="290000"/>
    <n v="302000"/>
    <n v="12000"/>
    <n v="4.1379310344827586E-2"/>
    <x v="1"/>
    <s v=""/>
  </r>
  <r>
    <s v="Finance|Audit Fees|5"/>
    <x v="4"/>
    <s v="Audit Fees"/>
    <n v="5"/>
    <s v="May"/>
    <x v="1"/>
    <n v="40000"/>
    <n v="39300"/>
    <n v="-700"/>
    <n v="-1.7500000000000002E-2"/>
    <x v="1"/>
    <s v=""/>
  </r>
  <r>
    <s v="Finance|Software Licenses|5"/>
    <x v="4"/>
    <s v="Software Licenses"/>
    <n v="5"/>
    <s v="May"/>
    <x v="1"/>
    <n v="30000"/>
    <n v="26500"/>
    <n v="-3500"/>
    <n v="-0.11666666666666667"/>
    <x v="2"/>
    <s v="Underspend: check if deferred"/>
  </r>
  <r>
    <s v="Finance|Training|5"/>
    <x v="4"/>
    <s v="Training"/>
    <n v="5"/>
    <s v="May"/>
    <x v="1"/>
    <n v="15000"/>
    <n v="15600"/>
    <n v="600"/>
    <n v="0.04"/>
    <x v="1"/>
    <s v=""/>
  </r>
  <r>
    <s v="Sales|Payroll|5"/>
    <x v="5"/>
    <s v="Payroll"/>
    <n v="5"/>
    <s v="May"/>
    <x v="1"/>
    <n v="410000"/>
    <n v="359000"/>
    <n v="-51000"/>
    <n v="-0.12439024390243902"/>
    <x v="2"/>
    <s v="Underspend: check if deferred"/>
  </r>
  <r>
    <s v="Sales|Commissions|5"/>
    <x v="5"/>
    <s v="Commissions"/>
    <n v="5"/>
    <s v="May"/>
    <x v="1"/>
    <n v="200000"/>
    <n v="205700"/>
    <n v="5700"/>
    <n v="2.8500000000000001E-2"/>
    <x v="1"/>
    <s v=""/>
  </r>
  <r>
    <s v="Sales|Travel|5"/>
    <x v="5"/>
    <s v="Travel"/>
    <n v="5"/>
    <s v="May"/>
    <x v="1"/>
    <n v="55000"/>
    <n v="51800"/>
    <n v="-3200"/>
    <n v="-5.8181818181818182E-2"/>
    <x v="1"/>
    <s v=""/>
  </r>
  <r>
    <s v="Sales|Entertainment|5"/>
    <x v="5"/>
    <s v="Entertainment"/>
    <n v="5"/>
    <s v="May"/>
    <x v="1"/>
    <n v="30000"/>
    <n v="31400"/>
    <n v="1400"/>
    <n v="4.6666666666666669E-2"/>
    <x v="1"/>
    <s v=""/>
  </r>
  <r>
    <s v="HR|Payroll|6"/>
    <x v="0"/>
    <s v="Payroll"/>
    <n v="6"/>
    <s v="Jun"/>
    <x v="1"/>
    <n v="462000"/>
    <n v="376700"/>
    <n v="-85300"/>
    <n v="-0.18463203463203462"/>
    <x v="2"/>
    <s v="Underspend: check if deferred"/>
  </r>
  <r>
    <s v="HR|Training|6"/>
    <x v="0"/>
    <s v="Training"/>
    <n v="6"/>
    <s v="Jun"/>
    <x v="1"/>
    <n v="38000"/>
    <n v="32800"/>
    <n v="-5200"/>
    <n v="-0.1368421052631579"/>
    <x v="2"/>
    <s v="Underspend: check if deferred"/>
  </r>
  <r>
    <s v="HR|Recruitment|6"/>
    <x v="0"/>
    <s v="Recruitment"/>
    <n v="6"/>
    <s v="Jun"/>
    <x v="1"/>
    <n v="61000"/>
    <n v="85300"/>
    <n v="24300"/>
    <n v="0.39836065573770491"/>
    <x v="0"/>
    <s v="Overspend: review with dept head"/>
  </r>
  <r>
    <s v="HR|Travel|6"/>
    <x v="0"/>
    <s v="Travel"/>
    <n v="6"/>
    <s v="Jun"/>
    <x v="1"/>
    <n v="20000"/>
    <n v="16200"/>
    <n v="-3800"/>
    <n v="-0.19"/>
    <x v="2"/>
    <s v="Underspend: check if deferred"/>
  </r>
  <r>
    <s v="Marketing|Payroll|6"/>
    <x v="1"/>
    <s v="Payroll"/>
    <n v="6"/>
    <s v="Jun"/>
    <x v="1"/>
    <n v="418000"/>
    <n v="408400"/>
    <n v="-9600"/>
    <n v="-2.2966507177033493E-2"/>
    <x v="1"/>
    <s v=""/>
  </r>
  <r>
    <s v="Marketing|Ad Spend|6"/>
    <x v="1"/>
    <s v="Ad Spend"/>
    <n v="6"/>
    <s v="Jun"/>
    <x v="1"/>
    <n v="165000"/>
    <n v="150000"/>
    <n v="-15000"/>
    <n v="-9.0909090909090912E-2"/>
    <x v="1"/>
    <s v=""/>
  </r>
  <r>
    <s v="Marketing|Events|6"/>
    <x v="1"/>
    <s v="Events"/>
    <n v="6"/>
    <s v="Jun"/>
    <x v="1"/>
    <n v="77000"/>
    <n v="72200"/>
    <n v="-4800"/>
    <n v="-6.2337662337662338E-2"/>
    <x v="1"/>
    <s v=""/>
  </r>
  <r>
    <s v="Marketing|Travel|6"/>
    <x v="1"/>
    <s v="Travel"/>
    <n v="6"/>
    <s v="Jun"/>
    <x v="1"/>
    <n v="28000"/>
    <n v="25600"/>
    <n v="-2400"/>
    <n v="-8.5714285714285715E-2"/>
    <x v="1"/>
    <s v=""/>
  </r>
  <r>
    <s v="IT|Payroll|6"/>
    <x v="2"/>
    <s v="Payroll"/>
    <n v="6"/>
    <s v="Jun"/>
    <x v="1"/>
    <n v="550000"/>
    <n v="511400"/>
    <n v="-38600"/>
    <n v="-7.0181818181818179E-2"/>
    <x v="1"/>
    <s v=""/>
  </r>
  <r>
    <s v="IT|Software Licenses|6"/>
    <x v="2"/>
    <s v="Software Licenses"/>
    <n v="6"/>
    <s v="Jun"/>
    <x v="1"/>
    <n v="99000"/>
    <n v="101200"/>
    <n v="2200"/>
    <n v="2.2222222222222223E-2"/>
    <x v="1"/>
    <s v=""/>
  </r>
  <r>
    <s v="IT|Hardware|6"/>
    <x v="2"/>
    <s v="Hardware"/>
    <n v="6"/>
    <s v="Jun"/>
    <x v="1"/>
    <n v="88000"/>
    <n v="87500"/>
    <n v="-500"/>
    <n v="-5.681818181818182E-3"/>
    <x v="1"/>
    <s v=""/>
  </r>
  <r>
    <s v="IT|Cloud Services|6"/>
    <x v="2"/>
    <s v="Cloud Services"/>
    <n v="6"/>
    <s v="Jun"/>
    <x v="1"/>
    <n v="121000"/>
    <n v="104100"/>
    <n v="-16900"/>
    <n v="-0.13966942148760331"/>
    <x v="2"/>
    <s v="Underspend: check if deferred"/>
  </r>
  <r>
    <s v="Operations|Payroll|6"/>
    <x v="3"/>
    <s v="Payroll"/>
    <n v="6"/>
    <s v="Jun"/>
    <x v="1"/>
    <n v="385000"/>
    <n v="370400"/>
    <n v="-14600"/>
    <n v="-3.7922077922077919E-2"/>
    <x v="1"/>
    <s v=""/>
  </r>
  <r>
    <s v="Operations|Logistics|6"/>
    <x v="3"/>
    <s v="Logistics"/>
    <n v="6"/>
    <s v="Jun"/>
    <x v="1"/>
    <n v="66000"/>
    <n v="52600"/>
    <n v="-13400"/>
    <n v="-0.20303030303030303"/>
    <x v="2"/>
    <s v="Underspend: check if deferred"/>
  </r>
  <r>
    <s v="Operations|Maintenance|6"/>
    <x v="3"/>
    <s v="Maintenance"/>
    <n v="6"/>
    <s v="Jun"/>
    <x v="1"/>
    <n v="50000"/>
    <n v="47200"/>
    <n v="-2800"/>
    <n v="-5.6000000000000001E-2"/>
    <x v="1"/>
    <s v=""/>
  </r>
  <r>
    <s v="Operations|Travel|6"/>
    <x v="3"/>
    <s v="Travel"/>
    <n v="6"/>
    <s v="Jun"/>
    <x v="1"/>
    <n v="22000"/>
    <n v="21600"/>
    <n v="-400"/>
    <n v="-1.8181818181818181E-2"/>
    <x v="1"/>
    <s v=""/>
  </r>
  <r>
    <s v="Finance|Payroll|6"/>
    <x v="4"/>
    <s v="Payroll"/>
    <n v="6"/>
    <s v="Jun"/>
    <x v="1"/>
    <n v="319000"/>
    <n v="284600"/>
    <n v="-34400"/>
    <n v="-0.10783699059561129"/>
    <x v="2"/>
    <s v="Underspend: check if deferred"/>
  </r>
  <r>
    <s v="Finance|Audit Fees|6"/>
    <x v="4"/>
    <s v="Audit Fees"/>
    <n v="6"/>
    <s v="Jun"/>
    <x v="1"/>
    <n v="44000"/>
    <n v="40500"/>
    <n v="-3500"/>
    <n v="-7.9545454545454544E-2"/>
    <x v="1"/>
    <s v=""/>
  </r>
  <r>
    <s v="Finance|Software Licenses|6"/>
    <x v="4"/>
    <s v="Software Licenses"/>
    <n v="6"/>
    <s v="Jun"/>
    <x v="1"/>
    <n v="33000"/>
    <n v="32900"/>
    <n v="-100"/>
    <n v="-3.0303030303030303E-3"/>
    <x v="1"/>
    <s v=""/>
  </r>
  <r>
    <s v="Finance|Training|6"/>
    <x v="4"/>
    <s v="Training"/>
    <n v="6"/>
    <s v="Jun"/>
    <x v="1"/>
    <n v="16000"/>
    <n v="16500"/>
    <n v="500"/>
    <n v="3.125E-2"/>
    <x v="1"/>
    <s v=""/>
  </r>
  <r>
    <s v="Sales|Payroll|6"/>
    <x v="5"/>
    <s v="Payroll"/>
    <n v="6"/>
    <s v="Jun"/>
    <x v="1"/>
    <n v="451000"/>
    <n v="411000"/>
    <n v="-40000"/>
    <n v="-8.8691796008869186E-2"/>
    <x v="1"/>
    <s v=""/>
  </r>
  <r>
    <s v="Sales|Commissions|6"/>
    <x v="5"/>
    <s v="Commissions"/>
    <n v="6"/>
    <s v="Jun"/>
    <x v="1"/>
    <n v="220000"/>
    <n v="190500"/>
    <n v="-29500"/>
    <n v="-0.13409090909090909"/>
    <x v="2"/>
    <s v="Underspend: check if deferred"/>
  </r>
  <r>
    <s v="Sales|Travel|6"/>
    <x v="5"/>
    <s v="Travel"/>
    <n v="6"/>
    <s v="Jun"/>
    <x v="1"/>
    <n v="61000"/>
    <n v="61100"/>
    <n v="100"/>
    <n v="1.639344262295082E-3"/>
    <x v="1"/>
    <s v=""/>
  </r>
  <r>
    <s v="Sales|Entertainment|6"/>
    <x v="5"/>
    <s v="Entertainment"/>
    <n v="6"/>
    <s v="Jun"/>
    <x v="1"/>
    <n v="33000"/>
    <n v="29600"/>
    <n v="-3400"/>
    <n v="-0.10303030303030303"/>
    <x v="2"/>
    <s v="Underspend: check if deferred"/>
  </r>
  <r>
    <s v="HR|Payroll|7"/>
    <x v="0"/>
    <s v="Payroll"/>
    <n v="7"/>
    <s v="Jul"/>
    <x v="2"/>
    <n v="420000"/>
    <n v="386500"/>
    <n v="-33500"/>
    <n v="-7.9761904761904756E-2"/>
    <x v="1"/>
    <s v=""/>
  </r>
  <r>
    <s v="HR|Training|7"/>
    <x v="0"/>
    <s v="Training"/>
    <n v="7"/>
    <s v="Jul"/>
    <x v="2"/>
    <n v="35000"/>
    <n v="40200"/>
    <n v="5200"/>
    <n v="0.14857142857142858"/>
    <x v="1"/>
    <s v=""/>
  </r>
  <r>
    <s v="HR|Recruitment|7"/>
    <x v="0"/>
    <s v="Recruitment"/>
    <n v="7"/>
    <s v="Jul"/>
    <x v="2"/>
    <n v="55000"/>
    <n v="61200"/>
    <n v="6200"/>
    <n v="0.11272727272727273"/>
    <x v="1"/>
    <s v=""/>
  </r>
  <r>
    <s v="HR|Travel|7"/>
    <x v="0"/>
    <s v="Travel"/>
    <n v="7"/>
    <s v="Jul"/>
    <x v="2"/>
    <n v="18000"/>
    <n v="17500"/>
    <n v="-500"/>
    <n v="-2.7777777777777776E-2"/>
    <x v="1"/>
    <s v=""/>
  </r>
  <r>
    <s v="Marketing|Payroll|7"/>
    <x v="1"/>
    <s v="Payroll"/>
    <n v="7"/>
    <s v="Jul"/>
    <x v="2"/>
    <n v="380000"/>
    <n v="368300"/>
    <n v="-11700"/>
    <n v="-3.0789473684210526E-2"/>
    <x v="1"/>
    <s v=""/>
  </r>
  <r>
    <s v="Marketing|Ad Spend|7"/>
    <x v="1"/>
    <s v="Ad Spend"/>
    <n v="7"/>
    <s v="Jul"/>
    <x v="2"/>
    <n v="150000"/>
    <n v="144600"/>
    <n v="-5400"/>
    <n v="-3.5999999999999997E-2"/>
    <x v="1"/>
    <s v=""/>
  </r>
  <r>
    <s v="Marketing|Events|7"/>
    <x v="1"/>
    <s v="Events"/>
    <n v="7"/>
    <s v="Jul"/>
    <x v="2"/>
    <n v="70000"/>
    <n v="72400"/>
    <n v="2400"/>
    <n v="3.4285714285714287E-2"/>
    <x v="1"/>
    <s v=""/>
  </r>
  <r>
    <s v="Marketing|Travel|7"/>
    <x v="1"/>
    <s v="Travel"/>
    <n v="7"/>
    <s v="Jul"/>
    <x v="2"/>
    <n v="25000"/>
    <n v="26900"/>
    <n v="1900"/>
    <n v="7.5999999999999998E-2"/>
    <x v="1"/>
    <s v=""/>
  </r>
  <r>
    <s v="IT|Payroll|7"/>
    <x v="2"/>
    <s v="Payroll"/>
    <n v="7"/>
    <s v="Jul"/>
    <x v="2"/>
    <n v="500000"/>
    <n v="450000"/>
    <n v="-50000"/>
    <n v="-0.1"/>
    <x v="1"/>
    <s v=""/>
  </r>
  <r>
    <s v="IT|Software Licenses|7"/>
    <x v="2"/>
    <s v="Software Licenses"/>
    <n v="7"/>
    <s v="Jul"/>
    <x v="2"/>
    <n v="90000"/>
    <n v="86700"/>
    <n v="-3300"/>
    <n v="-3.6666666666666667E-2"/>
    <x v="1"/>
    <s v=""/>
  </r>
  <r>
    <s v="IT|Hardware|7"/>
    <x v="2"/>
    <s v="Hardware"/>
    <n v="7"/>
    <s v="Jul"/>
    <x v="2"/>
    <n v="80000"/>
    <n v="84300"/>
    <n v="4300"/>
    <n v="5.3749999999999999E-2"/>
    <x v="1"/>
    <s v=""/>
  </r>
  <r>
    <s v="IT|Cloud Services|7"/>
    <x v="2"/>
    <s v="Cloud Services"/>
    <n v="7"/>
    <s v="Jul"/>
    <x v="2"/>
    <n v="110000"/>
    <n v="122200"/>
    <n v="12200"/>
    <n v="0.11090909090909092"/>
    <x v="1"/>
    <s v=""/>
  </r>
  <r>
    <s v="Operations|Payroll|7"/>
    <x v="3"/>
    <s v="Payroll"/>
    <n v="7"/>
    <s v="Jul"/>
    <x v="2"/>
    <n v="350000"/>
    <n v="345800"/>
    <n v="-4200"/>
    <n v="-1.2E-2"/>
    <x v="1"/>
    <s v=""/>
  </r>
  <r>
    <s v="Operations|Logistics|7"/>
    <x v="3"/>
    <s v="Logistics"/>
    <n v="7"/>
    <s v="Jul"/>
    <x v="2"/>
    <n v="60000"/>
    <n v="58900"/>
    <n v="-1100"/>
    <n v="-1.8333333333333333E-2"/>
    <x v="1"/>
    <s v=""/>
  </r>
  <r>
    <s v="Operations|Maintenance|7"/>
    <x v="3"/>
    <s v="Maintenance"/>
    <n v="7"/>
    <s v="Jul"/>
    <x v="2"/>
    <n v="45000"/>
    <n v="44300"/>
    <n v="-700"/>
    <n v="-1.5555555555555555E-2"/>
    <x v="1"/>
    <s v=""/>
  </r>
  <r>
    <s v="Operations|Travel|7"/>
    <x v="3"/>
    <s v="Travel"/>
    <n v="7"/>
    <s v="Jul"/>
    <x v="2"/>
    <n v="20000"/>
    <n v="19300"/>
    <n v="-700"/>
    <n v="-3.5000000000000003E-2"/>
    <x v="1"/>
    <s v=""/>
  </r>
  <r>
    <s v="Finance|Payroll|7"/>
    <x v="4"/>
    <s v="Payroll"/>
    <n v="7"/>
    <s v="Jul"/>
    <x v="2"/>
    <n v="290000"/>
    <n v="280900"/>
    <n v="-9100"/>
    <n v="-3.1379310344827584E-2"/>
    <x v="1"/>
    <s v=""/>
  </r>
  <r>
    <s v="Finance|Audit Fees|7"/>
    <x v="4"/>
    <s v="Audit Fees"/>
    <n v="7"/>
    <s v="Jul"/>
    <x v="2"/>
    <n v="40000"/>
    <n v="45600"/>
    <n v="5600"/>
    <n v="0.14000000000000001"/>
    <x v="1"/>
    <s v=""/>
  </r>
  <r>
    <s v="Finance|Software Licenses|7"/>
    <x v="4"/>
    <s v="Software Licenses"/>
    <n v="7"/>
    <s v="Jul"/>
    <x v="2"/>
    <n v="30000"/>
    <n v="31300"/>
    <n v="1300"/>
    <n v="4.3333333333333335E-2"/>
    <x v="1"/>
    <s v=""/>
  </r>
  <r>
    <s v="Finance|Training|7"/>
    <x v="4"/>
    <s v="Training"/>
    <n v="7"/>
    <s v="Jul"/>
    <x v="2"/>
    <n v="15000"/>
    <n v="16900"/>
    <n v="1900"/>
    <n v="0.12666666666666668"/>
    <x v="1"/>
    <s v=""/>
  </r>
  <r>
    <s v="Sales|Payroll|7"/>
    <x v="5"/>
    <s v="Payroll"/>
    <n v="7"/>
    <s v="Jul"/>
    <x v="2"/>
    <n v="410000"/>
    <n v="460500"/>
    <n v="50500"/>
    <n v="0.12317073170731707"/>
    <x v="1"/>
    <s v=""/>
  </r>
  <r>
    <s v="Sales|Commissions|7"/>
    <x v="5"/>
    <s v="Commissions"/>
    <n v="7"/>
    <s v="Jul"/>
    <x v="2"/>
    <n v="200000"/>
    <n v="201900"/>
    <n v="1900"/>
    <n v="9.4999999999999998E-3"/>
    <x v="1"/>
    <s v=""/>
  </r>
  <r>
    <s v="Sales|Travel|7"/>
    <x v="5"/>
    <s v="Travel"/>
    <n v="7"/>
    <s v="Jul"/>
    <x v="2"/>
    <n v="55000"/>
    <n v="83600"/>
    <n v="28600"/>
    <n v="0.52"/>
    <x v="0"/>
    <s v="Overspend: review with dept head"/>
  </r>
  <r>
    <s v="Sales|Entertainment|7"/>
    <x v="5"/>
    <s v="Entertainment"/>
    <n v="7"/>
    <s v="Jul"/>
    <x v="2"/>
    <n v="30000"/>
    <n v="32300"/>
    <n v="2300"/>
    <n v="7.6666666666666661E-2"/>
    <x v="1"/>
    <s v=""/>
  </r>
  <r>
    <s v="HR|Payroll|8"/>
    <x v="0"/>
    <s v="Payroll"/>
    <n v="8"/>
    <s v="Aug"/>
    <x v="2"/>
    <n v="420000"/>
    <n v="480600"/>
    <n v="60600"/>
    <n v="0.14428571428571429"/>
    <x v="1"/>
    <s v=""/>
  </r>
  <r>
    <s v="HR|Training|8"/>
    <x v="0"/>
    <s v="Training"/>
    <n v="8"/>
    <s v="Aug"/>
    <x v="2"/>
    <n v="35000"/>
    <n v="36900"/>
    <n v="1900"/>
    <n v="5.4285714285714284E-2"/>
    <x v="1"/>
    <s v=""/>
  </r>
  <r>
    <s v="HR|Recruitment|8"/>
    <x v="0"/>
    <s v="Recruitment"/>
    <n v="8"/>
    <s v="Aug"/>
    <x v="2"/>
    <n v="55000"/>
    <n v="54500"/>
    <n v="-500"/>
    <n v="-9.0909090909090905E-3"/>
    <x v="1"/>
    <s v=""/>
  </r>
  <r>
    <s v="HR|Travel|8"/>
    <x v="0"/>
    <s v="Travel"/>
    <n v="8"/>
    <s v="Aug"/>
    <x v="2"/>
    <n v="18000"/>
    <n v="19800"/>
    <n v="1800"/>
    <n v="0.1"/>
    <x v="1"/>
    <s v=""/>
  </r>
  <r>
    <s v="Marketing|Payroll|8"/>
    <x v="1"/>
    <s v="Payroll"/>
    <n v="8"/>
    <s v="Aug"/>
    <x v="2"/>
    <n v="380000"/>
    <n v="334000"/>
    <n v="-46000"/>
    <n v="-0.12105263157894737"/>
    <x v="2"/>
    <s v="Underspend: check if deferred"/>
  </r>
  <r>
    <s v="Marketing|Ad Spend|8"/>
    <x v="1"/>
    <s v="Ad Spend"/>
    <n v="8"/>
    <s v="Aug"/>
    <x v="2"/>
    <n v="150000"/>
    <n v="153900"/>
    <n v="3900"/>
    <n v="2.5999999999999999E-2"/>
    <x v="1"/>
    <s v=""/>
  </r>
  <r>
    <s v="Marketing|Events|8"/>
    <x v="1"/>
    <s v="Events"/>
    <n v="8"/>
    <s v="Aug"/>
    <x v="2"/>
    <n v="70000"/>
    <n v="60200"/>
    <n v="-9800"/>
    <n v="-0.14000000000000001"/>
    <x v="2"/>
    <s v="Underspend: check if deferred"/>
  </r>
  <r>
    <s v="Marketing|Travel|8"/>
    <x v="1"/>
    <s v="Travel"/>
    <n v="8"/>
    <s v="Aug"/>
    <x v="2"/>
    <n v="25000"/>
    <n v="28600"/>
    <n v="3600"/>
    <n v="0.14399999999999999"/>
    <x v="1"/>
    <s v=""/>
  </r>
  <r>
    <s v="IT|Payroll|8"/>
    <x v="2"/>
    <s v="Payroll"/>
    <n v="8"/>
    <s v="Aug"/>
    <x v="2"/>
    <n v="500000"/>
    <n v="466400"/>
    <n v="-33600"/>
    <n v="-6.7199999999999996E-2"/>
    <x v="1"/>
    <s v=""/>
  </r>
  <r>
    <s v="IT|Software Licenses|8"/>
    <x v="2"/>
    <s v="Software Licenses"/>
    <n v="8"/>
    <s v="Aug"/>
    <x v="2"/>
    <n v="90000"/>
    <n v="94400"/>
    <n v="4400"/>
    <n v="4.8888888888888891E-2"/>
    <x v="1"/>
    <s v=""/>
  </r>
  <r>
    <s v="IT|Hardware|8"/>
    <x v="2"/>
    <s v="Hardware"/>
    <n v="8"/>
    <s v="Aug"/>
    <x v="2"/>
    <n v="80000"/>
    <n v="72900"/>
    <n v="-7100"/>
    <n v="-8.8749999999999996E-2"/>
    <x v="1"/>
    <s v=""/>
  </r>
  <r>
    <s v="IT|Cloud Services|8"/>
    <x v="2"/>
    <s v="Cloud Services"/>
    <n v="8"/>
    <s v="Aug"/>
    <x v="2"/>
    <n v="110000"/>
    <n v="102700"/>
    <n v="-7300"/>
    <n v="-6.6363636363636361E-2"/>
    <x v="1"/>
    <s v=""/>
  </r>
  <r>
    <s v="Operations|Payroll|8"/>
    <x v="3"/>
    <s v="Payroll"/>
    <n v="8"/>
    <s v="Aug"/>
    <x v="2"/>
    <n v="350000"/>
    <n v="381400"/>
    <n v="31400"/>
    <n v="8.9714285714285719E-2"/>
    <x v="1"/>
    <s v=""/>
  </r>
  <r>
    <s v="Operations|Logistics|8"/>
    <x v="3"/>
    <s v="Logistics"/>
    <n v="8"/>
    <s v="Aug"/>
    <x v="2"/>
    <n v="60000"/>
    <n v="51300"/>
    <n v="-8700"/>
    <n v="-0.14499999999999999"/>
    <x v="2"/>
    <s v="Underspend: check if deferred"/>
  </r>
  <r>
    <s v="Operations|Maintenance|8"/>
    <x v="3"/>
    <s v="Maintenance"/>
    <n v="8"/>
    <s v="Aug"/>
    <x v="2"/>
    <n v="45000"/>
    <n v="41800"/>
    <n v="-3200"/>
    <n v="-7.1111111111111111E-2"/>
    <x v="1"/>
    <s v=""/>
  </r>
  <r>
    <s v="Operations|Travel|8"/>
    <x v="3"/>
    <s v="Travel"/>
    <n v="8"/>
    <s v="Aug"/>
    <x v="2"/>
    <n v="20000"/>
    <n v="21500"/>
    <n v="1500"/>
    <n v="7.4999999999999997E-2"/>
    <x v="1"/>
    <s v=""/>
  </r>
  <r>
    <s v="Finance|Payroll|8"/>
    <x v="4"/>
    <s v="Payroll"/>
    <n v="8"/>
    <s v="Aug"/>
    <x v="2"/>
    <n v="290000"/>
    <n v="290300"/>
    <n v="300"/>
    <n v="1.0344827586206897E-3"/>
    <x v="1"/>
    <s v=""/>
  </r>
  <r>
    <s v="Finance|Audit Fees|8"/>
    <x v="4"/>
    <s v="Audit Fees"/>
    <n v="8"/>
    <s v="Aug"/>
    <x v="2"/>
    <n v="40000"/>
    <n v="45600"/>
    <n v="5600"/>
    <n v="0.14000000000000001"/>
    <x v="1"/>
    <s v=""/>
  </r>
  <r>
    <s v="Finance|Software Licenses|8"/>
    <x v="4"/>
    <s v="Software Licenses"/>
    <n v="8"/>
    <s v="Aug"/>
    <x v="2"/>
    <n v="30000"/>
    <n v="31600"/>
    <n v="1600"/>
    <n v="5.3333333333333337E-2"/>
    <x v="1"/>
    <s v=""/>
  </r>
  <r>
    <s v="Finance|Training|8"/>
    <x v="4"/>
    <s v="Training"/>
    <n v="8"/>
    <s v="Aug"/>
    <x v="2"/>
    <n v="15000"/>
    <n v="13400"/>
    <n v="-1600"/>
    <n v="-0.10666666666666667"/>
    <x v="2"/>
    <s v="Underspend: check if deferred"/>
  </r>
  <r>
    <s v="Sales|Payroll|8"/>
    <x v="5"/>
    <s v="Payroll"/>
    <n v="8"/>
    <s v="Aug"/>
    <x v="2"/>
    <n v="410000"/>
    <n v="415900"/>
    <n v="5900"/>
    <n v="1.4390243902439025E-2"/>
    <x v="1"/>
    <s v=""/>
  </r>
  <r>
    <s v="Sales|Commissions|8"/>
    <x v="5"/>
    <s v="Commissions"/>
    <n v="8"/>
    <s v="Aug"/>
    <x v="2"/>
    <n v="200000"/>
    <n v="206300"/>
    <n v="6300"/>
    <n v="3.15E-2"/>
    <x v="1"/>
    <s v=""/>
  </r>
  <r>
    <s v="Sales|Travel|8"/>
    <x v="5"/>
    <s v="Travel"/>
    <n v="8"/>
    <s v="Aug"/>
    <x v="2"/>
    <n v="55000"/>
    <n v="77500"/>
    <n v="22500"/>
    <n v="0.40909090909090912"/>
    <x v="0"/>
    <s v="Overspend: review with dept head"/>
  </r>
  <r>
    <s v="Sales|Entertainment|8"/>
    <x v="5"/>
    <s v="Entertainment"/>
    <n v="8"/>
    <s v="Aug"/>
    <x v="2"/>
    <n v="30000"/>
    <n v="29000"/>
    <n v="-1000"/>
    <n v="-3.3333333333333333E-2"/>
    <x v="1"/>
    <s v=""/>
  </r>
  <r>
    <s v="HR|Payroll|9"/>
    <x v="0"/>
    <s v="Payroll"/>
    <n v="9"/>
    <s v="Oct"/>
    <x v="2"/>
    <n v="462000"/>
    <n v="365500"/>
    <n v="-96500"/>
    <n v="-0.20887445887445888"/>
    <x v="2"/>
    <s v="Underspend: check if deferred"/>
  </r>
  <r>
    <s v="HR|Training|9"/>
    <x v="0"/>
    <s v="Training"/>
    <n v="9"/>
    <s v="Oct"/>
    <x v="2"/>
    <n v="38000"/>
    <n v="37500"/>
    <n v="-500"/>
    <n v="-1.3157894736842105E-2"/>
    <x v="1"/>
    <s v=""/>
  </r>
  <r>
    <s v="HR|Recruitment|9"/>
    <x v="0"/>
    <s v="Recruitment"/>
    <n v="9"/>
    <s v="Oct"/>
    <x v="2"/>
    <n v="61000"/>
    <n v="56000"/>
    <n v="-5000"/>
    <n v="-8.1967213114754092E-2"/>
    <x v="1"/>
    <s v=""/>
  </r>
  <r>
    <s v="HR|Travel|9"/>
    <x v="0"/>
    <s v="Travel"/>
    <n v="9"/>
    <s v="Oct"/>
    <x v="2"/>
    <n v="20000"/>
    <n v="18500"/>
    <n v="-1500"/>
    <n v="-7.4999999999999997E-2"/>
    <x v="1"/>
    <s v=""/>
  </r>
  <r>
    <s v="Marketing|Payroll|9"/>
    <x v="1"/>
    <s v="Payroll"/>
    <n v="9"/>
    <s v="Oct"/>
    <x v="2"/>
    <n v="418000"/>
    <n v="348500"/>
    <n v="-69500"/>
    <n v="-0.16626794258373206"/>
    <x v="2"/>
    <s v="Underspend: check if deferred"/>
  </r>
  <r>
    <s v="Marketing|Ad Spend|9"/>
    <x v="1"/>
    <s v="Ad Spend"/>
    <n v="9"/>
    <s v="Oct"/>
    <x v="2"/>
    <n v="165000"/>
    <n v="132700"/>
    <n v="-32300"/>
    <n v="-0.19575757575757577"/>
    <x v="2"/>
    <s v="Underspend: check if deferred"/>
  </r>
  <r>
    <s v="Marketing|Events|9"/>
    <x v="1"/>
    <s v="Events"/>
    <n v="9"/>
    <s v="Oct"/>
    <x v="2"/>
    <n v="77000"/>
    <n v="73600"/>
    <n v="-3400"/>
    <n v="-4.4155844155844157E-2"/>
    <x v="1"/>
    <s v=""/>
  </r>
  <r>
    <s v="Marketing|Travel|9"/>
    <x v="1"/>
    <s v="Travel"/>
    <n v="9"/>
    <s v="Oct"/>
    <x v="2"/>
    <n v="28000"/>
    <n v="26500"/>
    <n v="-1500"/>
    <n v="-5.3571428571428568E-2"/>
    <x v="1"/>
    <s v=""/>
  </r>
  <r>
    <s v="IT|Payroll|9"/>
    <x v="2"/>
    <s v="Payroll"/>
    <n v="9"/>
    <s v="Oct"/>
    <x v="2"/>
    <n v="550000"/>
    <n v="523600"/>
    <n v="-26400"/>
    <n v="-4.8000000000000001E-2"/>
    <x v="1"/>
    <s v=""/>
  </r>
  <r>
    <s v="IT|Software Licenses|9"/>
    <x v="2"/>
    <s v="Software Licenses"/>
    <n v="9"/>
    <s v="Oct"/>
    <x v="2"/>
    <n v="99000"/>
    <n v="78900"/>
    <n v="-20100"/>
    <n v="-0.20303030303030303"/>
    <x v="2"/>
    <s v="Underspend: check if deferred"/>
  </r>
  <r>
    <s v="IT|Hardware|9"/>
    <x v="2"/>
    <s v="Hardware"/>
    <n v="9"/>
    <s v="Oct"/>
    <x v="2"/>
    <n v="88000"/>
    <n v="86700"/>
    <n v="-1300"/>
    <n v="-1.4772727272727272E-2"/>
    <x v="1"/>
    <s v=""/>
  </r>
  <r>
    <s v="IT|Cloud Services|9"/>
    <x v="2"/>
    <s v="Cloud Services"/>
    <n v="9"/>
    <s v="Oct"/>
    <x v="2"/>
    <n v="121000"/>
    <n v="102500"/>
    <n v="-18500"/>
    <n v="-0.15289256198347106"/>
    <x v="2"/>
    <s v="Underspend: check if deferred"/>
  </r>
  <r>
    <s v="Operations|Payroll|9"/>
    <x v="3"/>
    <s v="Payroll"/>
    <n v="9"/>
    <s v="Oct"/>
    <x v="2"/>
    <n v="385000"/>
    <n v="342700"/>
    <n v="-42300"/>
    <n v="-0.10987012987012987"/>
    <x v="2"/>
    <s v="Underspend: check if deferred"/>
  </r>
  <r>
    <s v="Operations|Logistics|9"/>
    <x v="3"/>
    <s v="Logistics"/>
    <n v="9"/>
    <s v="Oct"/>
    <x v="2"/>
    <n v="66000"/>
    <n v="51800"/>
    <n v="-14200"/>
    <n v="-0.21515151515151515"/>
    <x v="2"/>
    <s v="Underspend: check if deferred"/>
  </r>
  <r>
    <s v="Operations|Maintenance|9"/>
    <x v="3"/>
    <s v="Maintenance"/>
    <n v="9"/>
    <s v="Oct"/>
    <x v="2"/>
    <n v="50000"/>
    <n v="48500"/>
    <n v="-1500"/>
    <n v="-0.03"/>
    <x v="1"/>
    <s v=""/>
  </r>
  <r>
    <s v="Operations|Travel|9"/>
    <x v="3"/>
    <s v="Travel"/>
    <n v="9"/>
    <s v="Oct"/>
    <x v="2"/>
    <n v="22000"/>
    <n v="18100"/>
    <n v="-3900"/>
    <n v="-0.17727272727272728"/>
    <x v="2"/>
    <s v="Underspend: check if deferred"/>
  </r>
  <r>
    <s v="Finance|Payroll|9"/>
    <x v="4"/>
    <s v="Payroll"/>
    <n v="9"/>
    <s v="Oct"/>
    <x v="2"/>
    <n v="319000"/>
    <n v="252700"/>
    <n v="-66300"/>
    <n v="-0.20783699059561128"/>
    <x v="2"/>
    <s v="Underspend: check if deferred"/>
  </r>
  <r>
    <s v="Finance|Audit Fees|9"/>
    <x v="4"/>
    <s v="Audit Fees"/>
    <n v="9"/>
    <s v="Oct"/>
    <x v="2"/>
    <n v="44000"/>
    <n v="38900"/>
    <n v="-5100"/>
    <n v="-0.11590909090909091"/>
    <x v="2"/>
    <s v="Underspend: check if deferred"/>
  </r>
  <r>
    <s v="Finance|Software Licenses|9"/>
    <x v="4"/>
    <s v="Software Licenses"/>
    <n v="9"/>
    <s v="Oct"/>
    <x v="2"/>
    <n v="33000"/>
    <n v="33000"/>
    <n v="0"/>
    <n v="0"/>
    <x v="1"/>
    <s v=""/>
  </r>
  <r>
    <s v="Finance|Training|9"/>
    <x v="4"/>
    <s v="Training"/>
    <n v="9"/>
    <s v="Oct"/>
    <x v="2"/>
    <n v="16000"/>
    <n v="14600"/>
    <n v="-1400"/>
    <n v="-8.7499999999999994E-2"/>
    <x v="1"/>
    <s v=""/>
  </r>
  <r>
    <s v="Sales|Payroll|9"/>
    <x v="5"/>
    <s v="Payroll"/>
    <n v="9"/>
    <s v="Oct"/>
    <x v="2"/>
    <n v="451000"/>
    <n v="390300"/>
    <n v="-60700"/>
    <n v="-0.13458980044345897"/>
    <x v="2"/>
    <s v="Underspend: check if deferred"/>
  </r>
  <r>
    <s v="Sales|Commissions|9"/>
    <x v="5"/>
    <s v="Commissions"/>
    <n v="9"/>
    <s v="Oct"/>
    <x v="2"/>
    <n v="220000"/>
    <n v="284000"/>
    <n v="64000"/>
    <n v="0.29090909090909089"/>
    <x v="0"/>
    <s v="Overspend: review with dept head"/>
  </r>
  <r>
    <s v="Sales|Travel|9"/>
    <x v="5"/>
    <s v="Travel"/>
    <n v="9"/>
    <s v="Oct"/>
    <x v="2"/>
    <n v="61000"/>
    <n v="48500"/>
    <n v="-12500"/>
    <n v="-0.20491803278688525"/>
    <x v="2"/>
    <s v="Underspend: check if deferred"/>
  </r>
  <r>
    <s v="Sales|Entertainment|9"/>
    <x v="5"/>
    <s v="Entertainment"/>
    <n v="9"/>
    <s v="Oct"/>
    <x v="2"/>
    <n v="33000"/>
    <n v="34100"/>
    <n v="1100"/>
    <n v="3.3333333333333333E-2"/>
    <x v="1"/>
    <s v=""/>
  </r>
  <r>
    <s v="HR|Payroll|10"/>
    <x v="0"/>
    <s v="Payroll"/>
    <n v="10"/>
    <s v="Oct"/>
    <x v="3"/>
    <n v="441000"/>
    <n v="437100"/>
    <n v="-3900"/>
    <n v="-8.8435374149659872E-3"/>
    <x v="1"/>
    <s v=""/>
  </r>
  <r>
    <s v="HR|Training|10"/>
    <x v="0"/>
    <s v="Training"/>
    <n v="10"/>
    <s v="Oct"/>
    <x v="3"/>
    <n v="37000"/>
    <n v="36400"/>
    <n v="-600"/>
    <n v="-1.6216216216216217E-2"/>
    <x v="1"/>
    <s v=""/>
  </r>
  <r>
    <s v="HR|Recruitment|10"/>
    <x v="0"/>
    <s v="Recruitment"/>
    <n v="10"/>
    <s v="Oct"/>
    <x v="3"/>
    <n v="58000"/>
    <n v="54200"/>
    <n v="-3800"/>
    <n v="-6.5517241379310351E-2"/>
    <x v="1"/>
    <s v=""/>
  </r>
  <r>
    <s v="HR|Travel|10"/>
    <x v="0"/>
    <s v="Travel"/>
    <n v="10"/>
    <s v="Oct"/>
    <x v="3"/>
    <n v="19000"/>
    <n v="18800"/>
    <n v="-200"/>
    <n v="-1.0526315789473684E-2"/>
    <x v="1"/>
    <s v=""/>
  </r>
  <r>
    <s v="Marketing|Payroll|10"/>
    <x v="1"/>
    <s v="Payroll"/>
    <n v="10"/>
    <s v="Oct"/>
    <x v="3"/>
    <n v="399000"/>
    <n v="375700"/>
    <n v="-23300"/>
    <n v="-5.8395989974937342E-2"/>
    <x v="1"/>
    <s v=""/>
  </r>
  <r>
    <s v="Marketing|Ad Spend|10"/>
    <x v="1"/>
    <s v="Ad Spend"/>
    <n v="10"/>
    <s v="Oct"/>
    <x v="3"/>
    <n v="158000"/>
    <n v="154700"/>
    <n v="-3300"/>
    <n v="-2.0886075949367089E-2"/>
    <x v="1"/>
    <s v=""/>
  </r>
  <r>
    <s v="Marketing|Events|10"/>
    <x v="1"/>
    <s v="Events"/>
    <n v="10"/>
    <s v="Oct"/>
    <x v="3"/>
    <n v="74000"/>
    <n v="73100"/>
    <n v="-900"/>
    <n v="-1.2162162162162163E-2"/>
    <x v="1"/>
    <s v=""/>
  </r>
  <r>
    <s v="Marketing|Travel|10"/>
    <x v="1"/>
    <s v="Travel"/>
    <n v="10"/>
    <s v="Oct"/>
    <x v="3"/>
    <n v="26000"/>
    <n v="25200"/>
    <n v="-800"/>
    <n v="-3.0769230769230771E-2"/>
    <x v="1"/>
    <s v=""/>
  </r>
  <r>
    <s v="IT|Payroll|10"/>
    <x v="2"/>
    <s v="Payroll"/>
    <n v="10"/>
    <s v="Oct"/>
    <x v="3"/>
    <n v="525000"/>
    <n v="432900"/>
    <n v="-92100"/>
    <n v="-0.17542857142857143"/>
    <x v="2"/>
    <s v="Underspend: check if deferred"/>
  </r>
  <r>
    <s v="IT|Software Licenses|10"/>
    <x v="2"/>
    <s v="Software Licenses"/>
    <n v="10"/>
    <s v="Oct"/>
    <x v="3"/>
    <n v="94000"/>
    <n v="95900"/>
    <n v="1900"/>
    <n v="2.021276595744681E-2"/>
    <x v="1"/>
    <s v=""/>
  </r>
  <r>
    <s v="IT|Hardware|10"/>
    <x v="2"/>
    <s v="Hardware"/>
    <n v="10"/>
    <s v="Oct"/>
    <x v="3"/>
    <n v="84000"/>
    <n v="128000"/>
    <n v="44000"/>
    <n v="0.52380952380952384"/>
    <x v="0"/>
    <s v="Overspend: review with dept head"/>
  </r>
  <r>
    <s v="IT|Cloud Services|10"/>
    <x v="2"/>
    <s v="Cloud Services"/>
    <n v="10"/>
    <s v="Oct"/>
    <x v="3"/>
    <n v="116000"/>
    <n v="116900"/>
    <n v="900"/>
    <n v="7.7586206896551723E-3"/>
    <x v="1"/>
    <s v=""/>
  </r>
  <r>
    <s v="Operations|Payroll|10"/>
    <x v="3"/>
    <s v="Payroll"/>
    <n v="10"/>
    <s v="Oct"/>
    <x v="3"/>
    <n v="368000"/>
    <n v="380700"/>
    <n v="12700"/>
    <n v="3.4510869565217393E-2"/>
    <x v="1"/>
    <s v=""/>
  </r>
  <r>
    <s v="Operations|Logistics|10"/>
    <x v="3"/>
    <s v="Logistics"/>
    <n v="10"/>
    <s v="Oct"/>
    <x v="3"/>
    <n v="63000"/>
    <n v="67500"/>
    <n v="4500"/>
    <n v="7.1428571428571425E-2"/>
    <x v="1"/>
    <s v=""/>
  </r>
  <r>
    <s v="Operations|Maintenance|10"/>
    <x v="3"/>
    <s v="Maintenance"/>
    <n v="10"/>
    <s v="Oct"/>
    <x v="3"/>
    <n v="47000"/>
    <n v="43100"/>
    <n v="-3900"/>
    <n v="-8.2978723404255314E-2"/>
    <x v="1"/>
    <s v=""/>
  </r>
  <r>
    <s v="Operations|Travel|10"/>
    <x v="3"/>
    <s v="Travel"/>
    <n v="10"/>
    <s v="Oct"/>
    <x v="3"/>
    <n v="21000"/>
    <n v="18300"/>
    <n v="-2700"/>
    <n v="-0.12857142857142856"/>
    <x v="2"/>
    <s v="Underspend: check if deferred"/>
  </r>
  <r>
    <s v="Finance|Payroll|10"/>
    <x v="4"/>
    <s v="Payroll"/>
    <n v="10"/>
    <s v="Oct"/>
    <x v="3"/>
    <n v="304000"/>
    <n v="290700"/>
    <n v="-13300"/>
    <n v="-4.3749999999999997E-2"/>
    <x v="1"/>
    <s v=""/>
  </r>
  <r>
    <s v="Finance|Audit Fees|10"/>
    <x v="4"/>
    <s v="Audit Fees"/>
    <n v="10"/>
    <s v="Oct"/>
    <x v="3"/>
    <n v="42000"/>
    <n v="38600"/>
    <n v="-3400"/>
    <n v="-8.0952380952380956E-2"/>
    <x v="1"/>
    <s v=""/>
  </r>
  <r>
    <s v="Finance|Software Licenses|10"/>
    <x v="4"/>
    <s v="Software Licenses"/>
    <n v="10"/>
    <s v="Oct"/>
    <x v="3"/>
    <n v="32000"/>
    <n v="32700"/>
    <n v="700"/>
    <n v="2.1874999999999999E-2"/>
    <x v="1"/>
    <s v=""/>
  </r>
  <r>
    <s v="Finance|Training|10"/>
    <x v="4"/>
    <s v="Training"/>
    <n v="10"/>
    <s v="Oct"/>
    <x v="3"/>
    <n v="16000"/>
    <n v="14400"/>
    <n v="-1600"/>
    <n v="-0.1"/>
    <x v="1"/>
    <s v=""/>
  </r>
  <r>
    <s v="Sales|Payroll|10"/>
    <x v="5"/>
    <s v="Payroll"/>
    <n v="10"/>
    <s v="Oct"/>
    <x v="3"/>
    <n v="430000"/>
    <n v="377900"/>
    <n v="-52100"/>
    <n v="-0.12116279069767442"/>
    <x v="2"/>
    <s v="Underspend: check if deferred"/>
  </r>
  <r>
    <s v="Sales|Commissions|10"/>
    <x v="5"/>
    <s v="Commissions"/>
    <n v="10"/>
    <s v="Oct"/>
    <x v="3"/>
    <n v="210000"/>
    <n v="270000"/>
    <n v="60000"/>
    <n v="0.2857142857142857"/>
    <x v="0"/>
    <s v="Overspend: review with dept head"/>
  </r>
  <r>
    <s v="Sales|Travel|10"/>
    <x v="5"/>
    <s v="Travel"/>
    <n v="10"/>
    <s v="Oct"/>
    <x v="3"/>
    <n v="58000"/>
    <n v="60000"/>
    <n v="2000"/>
    <n v="3.4482758620689655E-2"/>
    <x v="1"/>
    <s v=""/>
  </r>
  <r>
    <s v="Sales|Entertainment|10"/>
    <x v="5"/>
    <s v="Entertainment"/>
    <n v="10"/>
    <s v="Oct"/>
    <x v="3"/>
    <n v="32000"/>
    <n v="29900"/>
    <n v="-2100"/>
    <n v="-6.5625000000000003E-2"/>
    <x v="1"/>
    <s v=""/>
  </r>
  <r>
    <s v="HR|Payroll|11"/>
    <x v="0"/>
    <s v="Payroll"/>
    <n v="11"/>
    <s v="Nov"/>
    <x v="3"/>
    <n v="441000"/>
    <n v="367600"/>
    <n v="-73400"/>
    <n v="-0.16643990929705216"/>
    <x v="2"/>
    <s v="Underspend: check if deferred"/>
  </r>
  <r>
    <s v="HR|Training|11"/>
    <x v="0"/>
    <s v="Training"/>
    <n v="11"/>
    <s v="Nov"/>
    <x v="3"/>
    <n v="37000"/>
    <n v="38500"/>
    <n v="1500"/>
    <n v="4.0540540540540543E-2"/>
    <x v="1"/>
    <s v=""/>
  </r>
  <r>
    <s v="HR|Recruitment|11"/>
    <x v="0"/>
    <s v="Recruitment"/>
    <n v="11"/>
    <s v="Nov"/>
    <x v="3"/>
    <n v="58000"/>
    <n v="61400"/>
    <n v="3400"/>
    <n v="5.8620689655172413E-2"/>
    <x v="1"/>
    <s v=""/>
  </r>
  <r>
    <s v="HR|Travel|11"/>
    <x v="0"/>
    <s v="Travel"/>
    <n v="11"/>
    <s v="Nov"/>
    <x v="3"/>
    <n v="19000"/>
    <n v="17300"/>
    <n v="-1700"/>
    <n v="-8.9473684210526316E-2"/>
    <x v="1"/>
    <s v=""/>
  </r>
  <r>
    <s v="Marketing|Payroll|11"/>
    <x v="1"/>
    <s v="Payroll"/>
    <n v="11"/>
    <s v="Nov"/>
    <x v="3"/>
    <n v="399000"/>
    <n v="418600"/>
    <n v="19600"/>
    <n v="4.912280701754386E-2"/>
    <x v="1"/>
    <s v=""/>
  </r>
  <r>
    <s v="Marketing|Ad Spend|11"/>
    <x v="1"/>
    <s v="Ad Spend"/>
    <n v="11"/>
    <s v="Nov"/>
    <x v="3"/>
    <n v="158000"/>
    <n v="148700"/>
    <n v="-9300"/>
    <n v="-5.8860759493670887E-2"/>
    <x v="1"/>
    <s v=""/>
  </r>
  <r>
    <s v="Marketing|Events|11"/>
    <x v="1"/>
    <s v="Events"/>
    <n v="11"/>
    <s v="Nov"/>
    <x v="3"/>
    <n v="74000"/>
    <n v="70600"/>
    <n v="-3400"/>
    <n v="-4.5945945945945948E-2"/>
    <x v="1"/>
    <s v=""/>
  </r>
  <r>
    <s v="Marketing|Travel|11"/>
    <x v="1"/>
    <s v="Travel"/>
    <n v="11"/>
    <s v="Nov"/>
    <x v="3"/>
    <n v="26000"/>
    <n v="22200"/>
    <n v="-3800"/>
    <n v="-0.14615384615384616"/>
    <x v="2"/>
    <s v="Underspend: check if deferred"/>
  </r>
  <r>
    <s v="IT|Payroll|11"/>
    <x v="2"/>
    <s v="Payroll"/>
    <n v="11"/>
    <s v="Nov"/>
    <x v="3"/>
    <n v="525000"/>
    <n v="434400"/>
    <n v="-90600"/>
    <n v="-0.17257142857142857"/>
    <x v="2"/>
    <s v="Underspend: check if deferred"/>
  </r>
  <r>
    <s v="IT|Software Licenses|11"/>
    <x v="2"/>
    <s v="Software Licenses"/>
    <n v="11"/>
    <s v="Nov"/>
    <x v="3"/>
    <n v="94000"/>
    <n v="95900"/>
    <n v="1900"/>
    <n v="2.021276595744681E-2"/>
    <x v="1"/>
    <s v=""/>
  </r>
  <r>
    <s v="IT|Hardware|11"/>
    <x v="2"/>
    <s v="Hardware"/>
    <n v="11"/>
    <s v="Nov"/>
    <x v="3"/>
    <n v="84000"/>
    <n v="107900"/>
    <n v="23900"/>
    <n v="0.28452380952380951"/>
    <x v="0"/>
    <s v="Overspend: review with dept head"/>
  </r>
  <r>
    <s v="IT|Cloud Services|11"/>
    <x v="2"/>
    <s v="Cloud Services"/>
    <n v="11"/>
    <s v="Nov"/>
    <x v="3"/>
    <n v="116000"/>
    <n v="111900"/>
    <n v="-4100"/>
    <n v="-3.5344827586206898E-2"/>
    <x v="1"/>
    <s v=""/>
  </r>
  <r>
    <s v="Operations|Payroll|11"/>
    <x v="3"/>
    <s v="Payroll"/>
    <n v="11"/>
    <s v="Nov"/>
    <x v="3"/>
    <n v="368000"/>
    <n v="375900"/>
    <n v="7900"/>
    <n v="2.1467391304347827E-2"/>
    <x v="1"/>
    <s v=""/>
  </r>
  <r>
    <s v="Operations|Logistics|11"/>
    <x v="3"/>
    <s v="Logistics"/>
    <n v="11"/>
    <s v="Nov"/>
    <x v="3"/>
    <n v="63000"/>
    <n v="52800"/>
    <n v="-10200"/>
    <n v="-0.16190476190476191"/>
    <x v="2"/>
    <s v="Underspend: check if deferred"/>
  </r>
  <r>
    <s v="Operations|Maintenance|11"/>
    <x v="3"/>
    <s v="Maintenance"/>
    <n v="11"/>
    <s v="Nov"/>
    <x v="3"/>
    <n v="47000"/>
    <n v="49500"/>
    <n v="2500"/>
    <n v="5.3191489361702128E-2"/>
    <x v="1"/>
    <s v=""/>
  </r>
  <r>
    <s v="Operations|Travel|11"/>
    <x v="3"/>
    <s v="Travel"/>
    <n v="11"/>
    <s v="Nov"/>
    <x v="3"/>
    <n v="21000"/>
    <n v="17300"/>
    <n v="-3700"/>
    <n v="-0.1761904761904762"/>
    <x v="2"/>
    <s v="Underspend: check if deferred"/>
  </r>
  <r>
    <s v="Finance|Payroll|11"/>
    <x v="4"/>
    <s v="Payroll"/>
    <n v="11"/>
    <s v="Nov"/>
    <x v="3"/>
    <n v="304000"/>
    <n v="274000"/>
    <n v="-30000"/>
    <n v="-9.8684210526315791E-2"/>
    <x v="1"/>
    <s v=""/>
  </r>
  <r>
    <s v="Finance|Audit Fees|11"/>
    <x v="4"/>
    <s v="Audit Fees"/>
    <n v="11"/>
    <s v="Nov"/>
    <x v="3"/>
    <n v="42000"/>
    <n v="34400"/>
    <n v="-7600"/>
    <n v="-0.18095238095238095"/>
    <x v="2"/>
    <s v="Underspend: check if deferred"/>
  </r>
  <r>
    <s v="Finance|Software Licenses|11"/>
    <x v="4"/>
    <s v="Software Licenses"/>
    <n v="11"/>
    <s v="Nov"/>
    <x v="3"/>
    <n v="32000"/>
    <n v="32700"/>
    <n v="700"/>
    <n v="2.1874999999999999E-2"/>
    <x v="1"/>
    <s v=""/>
  </r>
  <r>
    <s v="Finance|Training|11"/>
    <x v="4"/>
    <s v="Training"/>
    <n v="11"/>
    <s v="Nov"/>
    <x v="3"/>
    <n v="16000"/>
    <n v="14900"/>
    <n v="-1100"/>
    <n v="-6.8750000000000006E-2"/>
    <x v="1"/>
    <s v=""/>
  </r>
  <r>
    <s v="Sales|Payroll|11"/>
    <x v="5"/>
    <s v="Payroll"/>
    <n v="11"/>
    <s v="Nov"/>
    <x v="3"/>
    <n v="430000"/>
    <n v="400700"/>
    <n v="-29300"/>
    <n v="-6.8139534883720931E-2"/>
    <x v="1"/>
    <s v=""/>
  </r>
  <r>
    <s v="Sales|Commissions|11"/>
    <x v="5"/>
    <s v="Commissions"/>
    <n v="11"/>
    <s v="Nov"/>
    <x v="3"/>
    <n v="210000"/>
    <n v="176100"/>
    <n v="-33900"/>
    <n v="-0.16142857142857142"/>
    <x v="2"/>
    <s v="Underspend: check if deferred"/>
  </r>
  <r>
    <s v="Sales|Travel|11"/>
    <x v="5"/>
    <s v="Travel"/>
    <n v="11"/>
    <s v="Nov"/>
    <x v="3"/>
    <n v="58000"/>
    <n v="49500"/>
    <n v="-8500"/>
    <n v="-0.14655172413793102"/>
    <x v="2"/>
    <s v="Underspend: check if deferred"/>
  </r>
  <r>
    <s v="Sales|Entertainment|11"/>
    <x v="5"/>
    <s v="Entertainment"/>
    <n v="11"/>
    <s v="Nov"/>
    <x v="3"/>
    <n v="32000"/>
    <n v="28000"/>
    <n v="-4000"/>
    <n v="-0.125"/>
    <x v="2"/>
    <s v="Underspend: check if deferred"/>
  </r>
  <r>
    <s v="HR|Payroll|12"/>
    <x v="0"/>
    <s v="Payroll"/>
    <n v="12"/>
    <s v="Dec"/>
    <x v="3"/>
    <n v="504000"/>
    <n v="402700"/>
    <n v="-101300"/>
    <n v="-0.2009920634920635"/>
    <x v="2"/>
    <s v="Underspend: check if deferred"/>
  </r>
  <r>
    <s v="HR|Training|12"/>
    <x v="0"/>
    <s v="Training"/>
    <n v="12"/>
    <s v="Dec"/>
    <x v="3"/>
    <n v="42000"/>
    <n v="31100"/>
    <n v="-10900"/>
    <n v="-0.25952380952380955"/>
    <x v="2"/>
    <s v="Underspend: check if deferred"/>
  </r>
  <r>
    <s v="HR|Recruitment|12"/>
    <x v="0"/>
    <s v="Recruitment"/>
    <n v="12"/>
    <s v="Dec"/>
    <x v="3"/>
    <n v="66000"/>
    <n v="53000"/>
    <n v="-13000"/>
    <n v="-0.19696969696969696"/>
    <x v="2"/>
    <s v="Underspend: check if deferred"/>
  </r>
  <r>
    <s v="HR|Travel|12"/>
    <x v="0"/>
    <s v="Travel"/>
    <n v="12"/>
    <s v="Dec"/>
    <x v="3"/>
    <n v="22000"/>
    <n v="18400"/>
    <n v="-3600"/>
    <n v="-0.16363636363636364"/>
    <x v="2"/>
    <s v="Underspend: check if deferred"/>
  </r>
  <r>
    <s v="Marketing|Payroll|12"/>
    <x v="1"/>
    <s v="Payroll"/>
    <n v="12"/>
    <s v="Dec"/>
    <x v="3"/>
    <n v="456000"/>
    <n v="379800"/>
    <n v="-76200"/>
    <n v="-0.16710526315789473"/>
    <x v="2"/>
    <s v="Underspend: check if deferred"/>
  </r>
  <r>
    <s v="Marketing|Ad Spend|12"/>
    <x v="1"/>
    <s v="Ad Spend"/>
    <n v="12"/>
    <s v="Dec"/>
    <x v="3"/>
    <n v="180000"/>
    <n v="137200"/>
    <n v="-42800"/>
    <n v="-0.23777777777777778"/>
    <x v="2"/>
    <s v="Underspend: check if deferred"/>
  </r>
  <r>
    <s v="Marketing|Events|12"/>
    <x v="1"/>
    <s v="Events"/>
    <n v="12"/>
    <s v="Dec"/>
    <x v="3"/>
    <n v="84000"/>
    <n v="63100"/>
    <n v="-20900"/>
    <n v="-0.24880952380952381"/>
    <x v="2"/>
    <s v="Underspend: check if deferred"/>
  </r>
  <r>
    <s v="Marketing|Travel|12"/>
    <x v="1"/>
    <s v="Travel"/>
    <n v="12"/>
    <s v="Dec"/>
    <x v="3"/>
    <n v="30000"/>
    <n v="21700"/>
    <n v="-8300"/>
    <n v="-0.27666666666666667"/>
    <x v="2"/>
    <s v="Underspend: check if deferred"/>
  </r>
  <r>
    <s v="IT|Payroll|12"/>
    <x v="2"/>
    <s v="Payroll"/>
    <n v="12"/>
    <s v="Dec"/>
    <x v="3"/>
    <n v="600000"/>
    <n v="544000"/>
    <n v="-56000"/>
    <n v="-9.3333333333333338E-2"/>
    <x v="1"/>
    <s v=""/>
  </r>
  <r>
    <s v="IT|Software Licenses|12"/>
    <x v="2"/>
    <s v="Software Licenses"/>
    <n v="12"/>
    <s v="Dec"/>
    <x v="3"/>
    <n v="108000"/>
    <n v="91500"/>
    <n v="-16500"/>
    <n v="-0.15277777777777779"/>
    <x v="2"/>
    <s v="Underspend: check if deferred"/>
  </r>
  <r>
    <s v="IT|Hardware|12"/>
    <x v="2"/>
    <s v="Hardware"/>
    <n v="12"/>
    <s v="Dec"/>
    <x v="3"/>
    <n v="96000"/>
    <n v="69500"/>
    <n v="-26500"/>
    <n v="-0.27604166666666669"/>
    <x v="2"/>
    <s v="Underspend: check if deferred"/>
  </r>
  <r>
    <s v="IT|Cloud Services|12"/>
    <x v="2"/>
    <s v="Cloud Services"/>
    <n v="12"/>
    <s v="Dec"/>
    <x v="3"/>
    <n v="132000"/>
    <n v="120600"/>
    <n v="-11400"/>
    <n v="-8.6363636363636365E-2"/>
    <x v="1"/>
    <s v=""/>
  </r>
  <r>
    <s v="Operations|Payroll|12"/>
    <x v="3"/>
    <s v="Payroll"/>
    <n v="12"/>
    <s v="Dec"/>
    <x v="3"/>
    <n v="420000"/>
    <n v="305400"/>
    <n v="-114600"/>
    <n v="-0.27285714285714285"/>
    <x v="2"/>
    <s v="Underspend: check if deferred"/>
  </r>
  <r>
    <s v="Operations|Logistics|12"/>
    <x v="3"/>
    <s v="Logistics"/>
    <n v="12"/>
    <s v="Dec"/>
    <x v="3"/>
    <n v="72000"/>
    <n v="54300"/>
    <n v="-17700"/>
    <n v="-0.24583333333333332"/>
    <x v="2"/>
    <s v="Underspend: check if deferred"/>
  </r>
  <r>
    <s v="Operations|Maintenance|12"/>
    <x v="3"/>
    <s v="Maintenance"/>
    <n v="12"/>
    <s v="Dec"/>
    <x v="3"/>
    <n v="54000"/>
    <n v="45100"/>
    <n v="-8900"/>
    <n v="-0.1648148148148148"/>
    <x v="2"/>
    <s v="Underspend: check if deferred"/>
  </r>
  <r>
    <s v="Operations|Travel|12"/>
    <x v="3"/>
    <s v="Travel"/>
    <n v="12"/>
    <s v="Dec"/>
    <x v="3"/>
    <n v="24000"/>
    <n v="22700"/>
    <n v="-1300"/>
    <n v="-5.4166666666666669E-2"/>
    <x v="1"/>
    <s v=""/>
  </r>
  <r>
    <s v="Finance|Payroll|12"/>
    <x v="4"/>
    <s v="Payroll"/>
    <n v="12"/>
    <s v="Dec"/>
    <x v="3"/>
    <n v="348000"/>
    <n v="300900"/>
    <n v="-47100"/>
    <n v="-0.13534482758620689"/>
    <x v="2"/>
    <s v="Underspend: check if deferred"/>
  </r>
  <r>
    <s v="Finance|Audit Fees|12"/>
    <x v="4"/>
    <s v="Audit Fees"/>
    <n v="12"/>
    <s v="Dec"/>
    <x v="3"/>
    <n v="48000"/>
    <n v="76000"/>
    <n v="28000"/>
    <n v="0.58333333333333337"/>
    <x v="0"/>
    <s v="Overspend: review with dept head"/>
  </r>
  <r>
    <s v="Finance|Software Licenses|12"/>
    <x v="4"/>
    <s v="Software Licenses"/>
    <n v="12"/>
    <s v="Dec"/>
    <x v="3"/>
    <n v="36000"/>
    <n v="32500"/>
    <n v="-3500"/>
    <n v="-9.7222222222222224E-2"/>
    <x v="1"/>
    <s v=""/>
  </r>
  <r>
    <s v="Finance|Training|12"/>
    <x v="4"/>
    <s v="Training"/>
    <n v="12"/>
    <s v="Dec"/>
    <x v="3"/>
    <n v="18000"/>
    <n v="12800"/>
    <n v="-5200"/>
    <n v="-0.28888888888888886"/>
    <x v="2"/>
    <s v="Underspend: check if deferred"/>
  </r>
  <r>
    <s v="Sales|Payroll|12"/>
    <x v="5"/>
    <s v="Payroll"/>
    <n v="12"/>
    <s v="Dec"/>
    <x v="3"/>
    <n v="492000"/>
    <n v="404200"/>
    <n v="-87800"/>
    <n v="-0.17845528455284554"/>
    <x v="2"/>
    <s v="Underspend: check if deferred"/>
  </r>
  <r>
    <s v="Sales|Commissions|12"/>
    <x v="5"/>
    <s v="Commissions"/>
    <n v="12"/>
    <s v="Dec"/>
    <x v="3"/>
    <n v="240000"/>
    <n v="188800"/>
    <n v="-51200"/>
    <n v="-0.21333333333333335"/>
    <x v="2"/>
    <s v="Underspend: check if deferred"/>
  </r>
  <r>
    <s v="Sales|Travel|12"/>
    <x v="5"/>
    <s v="Travel"/>
    <n v="12"/>
    <s v="Dec"/>
    <x v="3"/>
    <n v="66000"/>
    <n v="56100"/>
    <n v="-9900"/>
    <n v="-0.15"/>
    <x v="2"/>
    <s v="Underspend: check if deferred"/>
  </r>
  <r>
    <s v="Sales|Entertainment|12"/>
    <x v="5"/>
    <s v="Entertainment"/>
    <n v="12"/>
    <s v="Dec"/>
    <x v="3"/>
    <n v="36000"/>
    <n v="26300"/>
    <n v="-9700"/>
    <n v="-0.26944444444444443"/>
    <x v="2"/>
    <s v="Underspend: check if defer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011220-D9B7-4A24-87A8-57986F3EC592}" name="DeptQuarterVarianc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G16" firstHeaderRow="1" firstDataRow="2" firstDataCol="1"/>
  <pivotFields count="12">
    <pivotField showAll="0"/>
    <pivotField axis="axisRow" showAll="0">
      <items count="7">
        <item x="4"/>
        <item x="0"/>
        <item x="2"/>
        <item x="1"/>
        <item x="3"/>
        <item x="5"/>
        <item t="default"/>
      </items>
    </pivotField>
    <pivotField showAll="0"/>
    <pivotField showAll="0"/>
    <pivotField showAll="0"/>
    <pivotField axis="axisCol" showAll="0">
      <items count="5">
        <item x="0"/>
        <item x="1"/>
        <item x="2"/>
        <item x="3"/>
        <item t="default"/>
      </items>
    </pivotField>
    <pivotField numFmtId="164" showAll="0"/>
    <pivotField numFmtId="164" showAll="0"/>
    <pivotField dataField="1" numFmtId="165" showAll="0"/>
    <pivotField numFmtId="166" showAll="0"/>
    <pivotField showAll="0">
      <items count="4">
        <item x="0"/>
        <item x="2"/>
        <item x="1"/>
        <item t="default"/>
      </items>
    </pivotField>
    <pivotField showAll="0"/>
  </pivotFields>
  <rowFields count="1">
    <field x="1"/>
  </rowFields>
  <rowItems count="7">
    <i>
      <x/>
    </i>
    <i>
      <x v="1"/>
    </i>
    <i>
      <x v="2"/>
    </i>
    <i>
      <x v="3"/>
    </i>
    <i>
      <x v="4"/>
    </i>
    <i>
      <x v="5"/>
    </i>
    <i t="grand">
      <x/>
    </i>
  </rowItems>
  <colFields count="1">
    <field x="5"/>
  </colFields>
  <colItems count="5">
    <i>
      <x/>
    </i>
    <i>
      <x v="1"/>
    </i>
    <i>
      <x v="2"/>
    </i>
    <i>
      <x v="3"/>
    </i>
    <i t="grand">
      <x/>
    </i>
  </colItems>
  <dataFields count="1">
    <dataField name="Variance" fld="8" baseField="0" baseItem="0" numFmtId="167"/>
  </dataFields>
  <formats count="20">
    <format dxfId="25">
      <pivotArea type="all" dataOnly="0" outline="0" fieldPosition="0"/>
    </format>
    <format dxfId="24">
      <pivotArea outline="0" collapsedLevelsAreSubtotals="1" fieldPosition="0"/>
    </format>
    <format dxfId="23">
      <pivotArea type="origin" dataOnly="0" labelOnly="1" outline="0" fieldPosition="0"/>
    </format>
    <format dxfId="22">
      <pivotArea field="5" type="button" dataOnly="0" labelOnly="1" outline="0" axis="axisCol" fieldPosition="0"/>
    </format>
    <format dxfId="21">
      <pivotArea type="topRight" dataOnly="0" labelOnly="1" outline="0" fieldPosition="0"/>
    </format>
    <format dxfId="20">
      <pivotArea field="1" type="button" dataOnly="0" labelOnly="1" outline="0" axis="axisRow" fieldPosition="0"/>
    </format>
    <format dxfId="19">
      <pivotArea dataOnly="0" labelOnly="1" fieldPosition="0">
        <references count="1">
          <reference field="1" count="0"/>
        </references>
      </pivotArea>
    </format>
    <format dxfId="18">
      <pivotArea dataOnly="0" labelOnly="1" grandRow="1" outline="0" fieldPosition="0"/>
    </format>
    <format dxfId="17">
      <pivotArea dataOnly="0" labelOnly="1" fieldPosition="0">
        <references count="1">
          <reference field="5" count="0"/>
        </references>
      </pivotArea>
    </format>
    <format dxfId="16">
      <pivotArea dataOnly="0" labelOnly="1" grandCol="1" outline="0" fieldPosition="0"/>
    </format>
    <format dxfId="15">
      <pivotArea type="all" dataOnly="0" outline="0" fieldPosition="0"/>
    </format>
    <format dxfId="14">
      <pivotArea outline="0" collapsedLevelsAreSubtotals="1" fieldPosition="0"/>
    </format>
    <format dxfId="13">
      <pivotArea type="origin" dataOnly="0" labelOnly="1" outline="0" fieldPosition="0"/>
    </format>
    <format dxfId="12">
      <pivotArea field="5" type="button" dataOnly="0" labelOnly="1" outline="0" axis="axisCol" fieldPosition="0"/>
    </format>
    <format dxfId="11">
      <pivotArea type="topRight" dataOnly="0" labelOnly="1" outline="0"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fieldPosition="0">
        <references count="1">
          <reference field="5" count="0"/>
        </references>
      </pivotArea>
    </format>
    <format dxfId="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6D631E3-BA07-486C-A53B-ADC6D8982957}" sourceName="Department">
  <pivotTables>
    <pivotTable tabId="5" name="DeptQuarterVariance"/>
  </pivotTables>
  <data>
    <tabular pivotCacheId="662925065">
      <items count="6">
        <i x="4" s="1"/>
        <i x="0" s="1"/>
        <i x="2" s="1"/>
        <i x="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AB83D1A-04A4-4311-8F0E-DD87A27B4B7D}" sourceName="Quarter">
  <pivotTables>
    <pivotTable tabId="5" name="DeptQuarterVariance"/>
  </pivotTables>
  <data>
    <tabular pivotCacheId="66292506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E7AFF1AE-4D9A-46B8-B6B7-140690F17832}" sourceName="Status">
  <pivotTables>
    <pivotTable tabId="5" name="DeptQuarterVariance"/>
  </pivotTables>
  <data>
    <tabular pivotCacheId="66292506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Department" xr10:uid="{E936C412-EE30-4542-BFA2-F88736BA3310}" cache="Slicer_Department" caption="Department" rowHeight="241300"/>
  <slicer name="Slicer_Quarter" xr10:uid="{0BCF40E9-95AF-4E1B-9856-E71808D66210}" cache="Slicer_Quarter" caption="Quarter" rowHeight="241300"/>
  <slicer name="Slicer_Status" xr10:uid="{89A4EC6C-D6D6-49C6-A93F-6399403B7EB1}" cache="Slicer_Status" caption="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9F33A9-F7DF-4EB1-BA27-300F1708EE8D}" name="VarianceData" displayName="VarianceData" ref="A4:L292" totalsRowShown="0" headerRowDxfId="42" dataDxfId="40" headerRowBorderDxfId="41" tableBorderDxfId="39" totalsRowBorderDxfId="38">
  <autoFilter ref="A4:L292" xr:uid="{5F9F33A9-F7DF-4EB1-BA27-300F1708EE8D}"/>
  <tableColumns count="12">
    <tableColumn id="1" xr3:uid="{300422CC-3753-4A28-B896-91582932C012}" name="Lookup_Key" dataDxfId="37"/>
    <tableColumn id="2" xr3:uid="{1CE4AA6B-7719-4C7C-BFCF-FE3248052400}" name="Department" dataDxfId="36"/>
    <tableColumn id="3" xr3:uid="{D43F9F91-43B0-42D8-9CF7-1D3DBD93FFFD}" name="Expense_Category" dataDxfId="35"/>
    <tableColumn id="4" xr3:uid="{5F2020B2-6A8C-4B96-AC6A-D93F65260245}" name="Month_Num" dataDxfId="34"/>
    <tableColumn id="5" xr3:uid="{D40EECE1-1F96-4CBA-A8A6-8992C40A7343}" name="Month_Name" dataDxfId="33"/>
    <tableColumn id="6" xr3:uid="{DE63C929-66DD-4AD4-A4C8-2E3F92A07A90}" name="Quarter" dataDxfId="32"/>
    <tableColumn id="7" xr3:uid="{6C8BDFED-10D3-469A-BC1B-93C2B9619948}" name="Monthly_Budget (INR)" dataDxfId="31"/>
    <tableColumn id="8" xr3:uid="{7BDF14A6-E4AC-44FC-8226-028B162E5043}" name="Actual (INR)" dataDxfId="30">
      <calculatedColumnFormula>SUMIFS(Raw_Actuals!$H:$H,Raw_Actuals!$E:$E,B5,Raw_Actuals!$F:$F,C5,Raw_Actuals!$B:$B,D5)</calculatedColumnFormula>
    </tableColumn>
    <tableColumn id="9" xr3:uid="{2DC9C50B-978E-4F9C-80A9-C97B86D4B101}" name="Variance (INR)" dataDxfId="29">
      <calculatedColumnFormula>H5-G5</calculatedColumnFormula>
    </tableColumn>
    <tableColumn id="10" xr3:uid="{2A3F4D9B-BB58-495F-97C5-C8011A3CC544}" name="Variance %" dataDxfId="28">
      <calculatedColumnFormula>IFERROR(I5/G5,0)</calculatedColumnFormula>
    </tableColumn>
    <tableColumn id="11" xr3:uid="{DA165DFB-4CBF-4F7D-8934-3417A130DF63}" name="Status" dataDxfId="27">
      <calculatedColumnFormula>IF(J5&gt;0.15,"🔴 Over Budget",IF(J5&lt;-0.1,"🟡 Under Budget","🟢 On Track"))</calculatedColumnFormula>
    </tableColumn>
    <tableColumn id="12" xr3:uid="{6F7E3FD5-76E7-468E-8B3B-DB1C4395FC55}" name="Notes" dataDxfId="26">
      <calculatedColumnFormula>IFERROR(IF(J5&gt;0.15,"Overspend: review with dept head",IF(J5&lt;-0.1,"Underspend: check if deferred","")),"")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7776014-48B5-4757-9283-CDAE92E6B2DE}">
  <we:reference id="wa200009404" version="1.0.0.8" store="en-US" storeType="OMEX"/>
  <we:alternateReferences>
    <we:reference id="wa200009404" version="1.0.0.8" store="wa200009404" storeType="OMEX"/>
  </we:alternateReferences>
  <we:properties>
    <we:property name="claude.fileId" value="&quot;37829a10-c047-4747-be96-e16d96c1ac67&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6"/>
  <sheetViews>
    <sheetView zoomScale="83" zoomScaleNormal="100" workbookViewId="0">
      <selection activeCell="O16" sqref="O16"/>
    </sheetView>
  </sheetViews>
  <sheetFormatPr defaultColWidth="8.6640625" defaultRowHeight="14.25" x14ac:dyDescent="0.45"/>
  <cols>
    <col min="1" max="1" width="18" customWidth="1"/>
    <col min="2" max="2" width="15.265625" customWidth="1"/>
    <col min="3" max="3" width="14.86328125" customWidth="1"/>
    <col min="4" max="4" width="10.9296875" customWidth="1"/>
    <col min="5" max="5" width="14" customWidth="1"/>
    <col min="6" max="6" width="20" customWidth="1"/>
    <col min="7" max="7" width="28" customWidth="1"/>
    <col min="8" max="8" width="16" customWidth="1"/>
    <col min="9" max="9" width="18" customWidth="1"/>
    <col min="10" max="10" width="30" customWidth="1"/>
    <col min="11" max="11" width="13.796875" style="22" customWidth="1"/>
    <col min="14" max="14" width="30" customWidth="1"/>
    <col min="15" max="15" width="12.46484375" bestFit="1" customWidth="1"/>
    <col min="16" max="16" width="18.265625" bestFit="1" customWidth="1"/>
    <col min="17" max="17" width="3.6640625" bestFit="1" customWidth="1"/>
    <col min="18" max="18" width="4.06640625" bestFit="1" customWidth="1"/>
    <col min="19" max="19" width="3.6640625" bestFit="1" customWidth="1"/>
    <col min="20" max="20" width="4.265625" bestFit="1" customWidth="1"/>
    <col min="21" max="21" width="3.53125" bestFit="1" customWidth="1"/>
    <col min="22" max="22" width="2.9296875" bestFit="1" customWidth="1"/>
    <col min="23" max="23" width="3.9296875" bestFit="1" customWidth="1"/>
    <col min="24" max="24" width="3.53125" bestFit="1" customWidth="1"/>
    <col min="25" max="25" width="4" bestFit="1" customWidth="1"/>
    <col min="26" max="26" width="3.73046875" bestFit="1" customWidth="1"/>
    <col min="27" max="27" width="10.19921875" bestFit="1" customWidth="1"/>
  </cols>
  <sheetData>
    <row r="1" spans="1:14" x14ac:dyDescent="0.45">
      <c r="A1" s="1" t="s">
        <v>0</v>
      </c>
      <c r="B1" s="1" t="s">
        <v>1</v>
      </c>
      <c r="C1" s="1" t="s">
        <v>2</v>
      </c>
      <c r="D1" s="1" t="s">
        <v>3</v>
      </c>
      <c r="E1" s="1" t="s">
        <v>4</v>
      </c>
      <c r="F1" s="1" t="s">
        <v>5</v>
      </c>
      <c r="G1" s="1" t="s">
        <v>6</v>
      </c>
      <c r="H1" s="1" t="s">
        <v>7</v>
      </c>
      <c r="I1" s="1" t="s">
        <v>8</v>
      </c>
      <c r="J1" s="1" t="s">
        <v>9</v>
      </c>
      <c r="K1" s="21" t="s">
        <v>9</v>
      </c>
      <c r="N1" s="1" t="s">
        <v>9</v>
      </c>
    </row>
    <row r="2" spans="1:14" x14ac:dyDescent="0.45">
      <c r="A2" s="2" t="s">
        <v>10</v>
      </c>
      <c r="B2" s="2">
        <v>2</v>
      </c>
      <c r="C2" s="2" t="s">
        <v>11</v>
      </c>
      <c r="D2" s="2" t="s">
        <v>12</v>
      </c>
      <c r="E2" s="2" t="s">
        <v>13</v>
      </c>
      <c r="F2" s="2" t="s">
        <v>14</v>
      </c>
      <c r="G2" s="3" t="s">
        <v>15</v>
      </c>
      <c r="H2" s="4">
        <v>92400</v>
      </c>
      <c r="I2" s="2" t="s">
        <v>16</v>
      </c>
      <c r="J2" s="2"/>
      <c r="K2" s="22">
        <f>IF(J2=$N$2,0,IF(J2=$N$3,1,IF(J2=$N$4,2)))</f>
        <v>0</v>
      </c>
      <c r="N2" s="2"/>
    </row>
    <row r="3" spans="1:14" x14ac:dyDescent="0.45">
      <c r="A3" s="5" t="s">
        <v>17</v>
      </c>
      <c r="B3" s="5">
        <v>3</v>
      </c>
      <c r="C3" s="5" t="s">
        <v>18</v>
      </c>
      <c r="D3" s="5" t="s">
        <v>12</v>
      </c>
      <c r="E3" s="5" t="s">
        <v>19</v>
      </c>
      <c r="F3" s="5" t="s">
        <v>14</v>
      </c>
      <c r="G3" s="6" t="s">
        <v>15</v>
      </c>
      <c r="H3" s="7">
        <v>14700</v>
      </c>
      <c r="I3" s="5" t="s">
        <v>20</v>
      </c>
      <c r="J3" s="5"/>
      <c r="K3" s="22">
        <f t="shared" ref="K3:K66" si="0">IF(J3=$N$2,0,IF(J3=$N$3,1,IF(J3=$N$4,2)))</f>
        <v>0</v>
      </c>
      <c r="N3" s="2" t="s">
        <v>108</v>
      </c>
    </row>
    <row r="4" spans="1:14" x14ac:dyDescent="0.45">
      <c r="A4" s="2" t="s">
        <v>21</v>
      </c>
      <c r="B4" s="2">
        <v>5</v>
      </c>
      <c r="C4" s="2" t="s">
        <v>22</v>
      </c>
      <c r="D4" s="2" t="s">
        <v>23</v>
      </c>
      <c r="E4" s="2" t="s">
        <v>24</v>
      </c>
      <c r="F4" s="2" t="s">
        <v>25</v>
      </c>
      <c r="G4" s="3" t="s">
        <v>26</v>
      </c>
      <c r="H4" s="4">
        <v>28400</v>
      </c>
      <c r="I4" s="2" t="s">
        <v>27</v>
      </c>
      <c r="J4" s="2"/>
      <c r="K4" s="22">
        <f t="shared" si="0"/>
        <v>0</v>
      </c>
      <c r="N4" s="2" t="s">
        <v>415</v>
      </c>
    </row>
    <row r="5" spans="1:14" x14ac:dyDescent="0.45">
      <c r="A5" s="5" t="s">
        <v>28</v>
      </c>
      <c r="B5" s="5">
        <v>11</v>
      </c>
      <c r="C5" s="5" t="s">
        <v>29</v>
      </c>
      <c r="D5" s="5" t="s">
        <v>30</v>
      </c>
      <c r="E5" s="5" t="s">
        <v>19</v>
      </c>
      <c r="F5" s="5" t="s">
        <v>31</v>
      </c>
      <c r="G5" s="6" t="s">
        <v>32</v>
      </c>
      <c r="H5" s="7">
        <v>8300</v>
      </c>
      <c r="I5" s="5" t="s">
        <v>20</v>
      </c>
      <c r="J5" s="5"/>
      <c r="K5" s="22">
        <f t="shared" si="0"/>
        <v>0</v>
      </c>
    </row>
    <row r="6" spans="1:14" x14ac:dyDescent="0.45">
      <c r="A6" s="2" t="s">
        <v>33</v>
      </c>
      <c r="B6" s="2">
        <v>12</v>
      </c>
      <c r="C6" s="2" t="s">
        <v>34</v>
      </c>
      <c r="D6" s="2" t="s">
        <v>30</v>
      </c>
      <c r="E6" s="2" t="s">
        <v>35</v>
      </c>
      <c r="F6" s="2" t="s">
        <v>36</v>
      </c>
      <c r="G6" s="3" t="s">
        <v>37</v>
      </c>
      <c r="H6" s="4">
        <v>3800</v>
      </c>
      <c r="I6" s="2" t="s">
        <v>38</v>
      </c>
      <c r="J6" s="2"/>
      <c r="K6" s="22">
        <f t="shared" si="0"/>
        <v>0</v>
      </c>
    </row>
    <row r="7" spans="1:14" x14ac:dyDescent="0.45">
      <c r="A7" s="5" t="s">
        <v>39</v>
      </c>
      <c r="B7" s="5">
        <v>9</v>
      </c>
      <c r="C7" s="5" t="s">
        <v>40</v>
      </c>
      <c r="D7" s="5" t="s">
        <v>41</v>
      </c>
      <c r="E7" s="5" t="s">
        <v>19</v>
      </c>
      <c r="F7" s="5" t="s">
        <v>14</v>
      </c>
      <c r="G7" s="6" t="s">
        <v>42</v>
      </c>
      <c r="H7" s="7">
        <v>203200</v>
      </c>
      <c r="I7" s="5" t="s">
        <v>20</v>
      </c>
      <c r="J7" s="5"/>
      <c r="K7" s="22">
        <f t="shared" si="0"/>
        <v>0</v>
      </c>
    </row>
    <row r="8" spans="1:14" x14ac:dyDescent="0.45">
      <c r="A8" s="2" t="s">
        <v>43</v>
      </c>
      <c r="B8" s="2">
        <v>3</v>
      </c>
      <c r="C8" s="2" t="s">
        <v>18</v>
      </c>
      <c r="D8" s="2" t="s">
        <v>12</v>
      </c>
      <c r="E8" s="2" t="s">
        <v>24</v>
      </c>
      <c r="F8" s="2" t="s">
        <v>44</v>
      </c>
      <c r="G8" s="3" t="s">
        <v>45</v>
      </c>
      <c r="H8" s="4">
        <v>10900</v>
      </c>
      <c r="I8" s="2" t="s">
        <v>27</v>
      </c>
      <c r="J8" s="2"/>
      <c r="K8" s="22">
        <f t="shared" si="0"/>
        <v>0</v>
      </c>
    </row>
    <row r="9" spans="1:14" x14ac:dyDescent="0.45">
      <c r="A9" s="5" t="s">
        <v>46</v>
      </c>
      <c r="B9" s="5">
        <v>4</v>
      </c>
      <c r="C9" s="5" t="s">
        <v>47</v>
      </c>
      <c r="D9" s="5" t="s">
        <v>23</v>
      </c>
      <c r="E9" s="5" t="s">
        <v>24</v>
      </c>
      <c r="F9" s="5" t="s">
        <v>14</v>
      </c>
      <c r="G9" s="6" t="s">
        <v>48</v>
      </c>
      <c r="H9" s="7">
        <v>70200</v>
      </c>
      <c r="I9" s="5" t="s">
        <v>27</v>
      </c>
      <c r="J9" s="5"/>
      <c r="K9" s="22">
        <f t="shared" si="0"/>
        <v>0</v>
      </c>
    </row>
    <row r="10" spans="1:14" x14ac:dyDescent="0.45">
      <c r="A10" s="2" t="s">
        <v>49</v>
      </c>
      <c r="B10" s="2">
        <v>5</v>
      </c>
      <c r="C10" s="2" t="s">
        <v>22</v>
      </c>
      <c r="D10" s="2" t="s">
        <v>23</v>
      </c>
      <c r="E10" s="2" t="s">
        <v>13</v>
      </c>
      <c r="F10" s="2" t="s">
        <v>50</v>
      </c>
      <c r="G10" s="3" t="s">
        <v>51</v>
      </c>
      <c r="H10" s="4">
        <v>22800</v>
      </c>
      <c r="I10" s="2" t="s">
        <v>16</v>
      </c>
      <c r="J10" s="2"/>
      <c r="K10" s="22">
        <f t="shared" si="0"/>
        <v>0</v>
      </c>
    </row>
    <row r="11" spans="1:14" x14ac:dyDescent="0.45">
      <c r="A11" s="5" t="s">
        <v>52</v>
      </c>
      <c r="B11" s="5">
        <v>4</v>
      </c>
      <c r="C11" s="5" t="s">
        <v>47</v>
      </c>
      <c r="D11" s="5" t="s">
        <v>23</v>
      </c>
      <c r="E11" s="5" t="s">
        <v>19</v>
      </c>
      <c r="F11" s="5" t="s">
        <v>53</v>
      </c>
      <c r="G11" s="6" t="s">
        <v>54</v>
      </c>
      <c r="H11" s="7">
        <v>58900</v>
      </c>
      <c r="I11" s="5" t="s">
        <v>20</v>
      </c>
      <c r="J11" s="5"/>
      <c r="K11" s="22">
        <f t="shared" si="0"/>
        <v>0</v>
      </c>
    </row>
    <row r="12" spans="1:14" x14ac:dyDescent="0.45">
      <c r="A12" s="2" t="s">
        <v>55</v>
      </c>
      <c r="B12" s="2">
        <v>7</v>
      </c>
      <c r="C12" s="2" t="s">
        <v>56</v>
      </c>
      <c r="D12" s="2" t="s">
        <v>41</v>
      </c>
      <c r="E12" s="2" t="s">
        <v>57</v>
      </c>
      <c r="F12" s="2" t="s">
        <v>14</v>
      </c>
      <c r="G12" s="3" t="s">
        <v>48</v>
      </c>
      <c r="H12" s="4">
        <v>270900</v>
      </c>
      <c r="I12" s="2" t="s">
        <v>58</v>
      </c>
      <c r="J12" s="2"/>
      <c r="K12" s="22">
        <f t="shared" si="0"/>
        <v>0</v>
      </c>
    </row>
    <row r="13" spans="1:14" x14ac:dyDescent="0.45">
      <c r="A13" s="5" t="s">
        <v>59</v>
      </c>
      <c r="B13" s="5">
        <v>8</v>
      </c>
      <c r="C13" s="5" t="s">
        <v>60</v>
      </c>
      <c r="D13" s="5" t="s">
        <v>41</v>
      </c>
      <c r="E13" s="5" t="s">
        <v>57</v>
      </c>
      <c r="F13" s="5" t="s">
        <v>14</v>
      </c>
      <c r="G13" s="6" t="s">
        <v>48</v>
      </c>
      <c r="H13" s="7">
        <v>204200</v>
      </c>
      <c r="I13" s="5" t="s">
        <v>58</v>
      </c>
      <c r="J13" s="5"/>
      <c r="K13" s="22">
        <f t="shared" si="0"/>
        <v>0</v>
      </c>
    </row>
    <row r="14" spans="1:14" x14ac:dyDescent="0.45">
      <c r="A14" s="2" t="s">
        <v>61</v>
      </c>
      <c r="B14" s="2">
        <v>7</v>
      </c>
      <c r="C14" s="2" t="s">
        <v>56</v>
      </c>
      <c r="D14" s="2" t="s">
        <v>41</v>
      </c>
      <c r="E14" s="2" t="s">
        <v>24</v>
      </c>
      <c r="F14" s="2" t="s">
        <v>14</v>
      </c>
      <c r="G14" s="3" t="s">
        <v>48</v>
      </c>
      <c r="H14" s="4">
        <v>385800</v>
      </c>
      <c r="I14" s="2" t="s">
        <v>27</v>
      </c>
      <c r="J14" s="2"/>
      <c r="K14" s="22">
        <f t="shared" si="0"/>
        <v>0</v>
      </c>
    </row>
    <row r="15" spans="1:14" x14ac:dyDescent="0.45">
      <c r="A15" s="5" t="s">
        <v>62</v>
      </c>
      <c r="B15" s="5">
        <v>10</v>
      </c>
      <c r="C15" s="5" t="s">
        <v>40</v>
      </c>
      <c r="D15" s="5" t="s">
        <v>30</v>
      </c>
      <c r="E15" s="5" t="s">
        <v>13</v>
      </c>
      <c r="F15" s="5" t="s">
        <v>63</v>
      </c>
      <c r="G15" s="6" t="s">
        <v>64</v>
      </c>
      <c r="H15" s="7">
        <v>3100</v>
      </c>
      <c r="I15" s="5" t="s">
        <v>16</v>
      </c>
      <c r="J15" s="5"/>
      <c r="K15" s="22">
        <f t="shared" si="0"/>
        <v>0</v>
      </c>
    </row>
    <row r="16" spans="1:14" x14ac:dyDescent="0.45">
      <c r="A16" s="2" t="s">
        <v>65</v>
      </c>
      <c r="B16" s="2">
        <v>1</v>
      </c>
      <c r="C16" s="2" t="s">
        <v>66</v>
      </c>
      <c r="D16" s="2" t="s">
        <v>12</v>
      </c>
      <c r="E16" s="2" t="s">
        <v>24</v>
      </c>
      <c r="F16" s="2" t="s">
        <v>44</v>
      </c>
      <c r="G16" s="3" t="s">
        <v>67</v>
      </c>
      <c r="H16" s="4">
        <v>36700</v>
      </c>
      <c r="I16" s="2" t="s">
        <v>27</v>
      </c>
      <c r="J16" s="2"/>
      <c r="K16" s="22">
        <f t="shared" si="0"/>
        <v>0</v>
      </c>
    </row>
    <row r="17" spans="1:11" x14ac:dyDescent="0.45">
      <c r="A17" s="5" t="s">
        <v>68</v>
      </c>
      <c r="B17" s="5">
        <v>1</v>
      </c>
      <c r="C17" s="5" t="s">
        <v>66</v>
      </c>
      <c r="D17" s="5" t="s">
        <v>12</v>
      </c>
      <c r="E17" s="5" t="s">
        <v>13</v>
      </c>
      <c r="F17" s="5" t="s">
        <v>63</v>
      </c>
      <c r="G17" s="6" t="s">
        <v>69</v>
      </c>
      <c r="H17" s="7">
        <v>5400</v>
      </c>
      <c r="I17" s="5" t="s">
        <v>16</v>
      </c>
      <c r="J17" s="5"/>
      <c r="K17" s="22">
        <f t="shared" si="0"/>
        <v>0</v>
      </c>
    </row>
    <row r="18" spans="1:11" x14ac:dyDescent="0.45">
      <c r="A18" s="2" t="s">
        <v>70</v>
      </c>
      <c r="B18" s="2">
        <v>9</v>
      </c>
      <c r="C18" s="2" t="s">
        <v>40</v>
      </c>
      <c r="D18" s="2" t="s">
        <v>41</v>
      </c>
      <c r="E18" s="2" t="s">
        <v>71</v>
      </c>
      <c r="F18" s="2" t="s">
        <v>63</v>
      </c>
      <c r="G18" s="3" t="s">
        <v>69</v>
      </c>
      <c r="H18" s="4">
        <v>9600</v>
      </c>
      <c r="I18" s="2" t="s">
        <v>72</v>
      </c>
      <c r="J18" s="2"/>
      <c r="K18" s="22">
        <f t="shared" si="0"/>
        <v>0</v>
      </c>
    </row>
    <row r="19" spans="1:11" x14ac:dyDescent="0.45">
      <c r="A19" s="5" t="s">
        <v>73</v>
      </c>
      <c r="B19" s="5">
        <v>9</v>
      </c>
      <c r="C19" s="5" t="s">
        <v>40</v>
      </c>
      <c r="D19" s="5" t="s">
        <v>41</v>
      </c>
      <c r="E19" s="5" t="s">
        <v>71</v>
      </c>
      <c r="F19" s="5" t="s">
        <v>14</v>
      </c>
      <c r="G19" s="6" t="s">
        <v>15</v>
      </c>
      <c r="H19" s="7">
        <v>274300</v>
      </c>
      <c r="I19" s="5" t="s">
        <v>72</v>
      </c>
      <c r="J19" s="5"/>
      <c r="K19" s="22">
        <f t="shared" si="0"/>
        <v>0</v>
      </c>
    </row>
    <row r="20" spans="1:11" x14ac:dyDescent="0.45">
      <c r="A20" s="2" t="s">
        <v>74</v>
      </c>
      <c r="B20" s="2">
        <v>9</v>
      </c>
      <c r="C20" s="2" t="s">
        <v>40</v>
      </c>
      <c r="D20" s="2" t="s">
        <v>41</v>
      </c>
      <c r="E20" s="2" t="s">
        <v>35</v>
      </c>
      <c r="F20" s="2" t="s">
        <v>75</v>
      </c>
      <c r="G20" s="3" t="s">
        <v>76</v>
      </c>
      <c r="H20" s="4">
        <v>5800</v>
      </c>
      <c r="I20" s="2" t="s">
        <v>38</v>
      </c>
      <c r="J20" s="2"/>
      <c r="K20" s="22">
        <f t="shared" si="0"/>
        <v>0</v>
      </c>
    </row>
    <row r="21" spans="1:11" x14ac:dyDescent="0.45">
      <c r="A21" s="5" t="s">
        <v>77</v>
      </c>
      <c r="B21" s="5">
        <v>6</v>
      </c>
      <c r="C21" s="5" t="s">
        <v>78</v>
      </c>
      <c r="D21" s="5" t="s">
        <v>23</v>
      </c>
      <c r="E21" s="5" t="s">
        <v>19</v>
      </c>
      <c r="F21" s="5" t="s">
        <v>31</v>
      </c>
      <c r="G21" s="6" t="s">
        <v>79</v>
      </c>
      <c r="H21" s="7">
        <v>2700</v>
      </c>
      <c r="I21" s="5" t="s">
        <v>20</v>
      </c>
      <c r="J21" s="5"/>
      <c r="K21" s="22">
        <f t="shared" si="0"/>
        <v>0</v>
      </c>
    </row>
    <row r="22" spans="1:11" x14ac:dyDescent="0.45">
      <c r="A22" s="2" t="s">
        <v>80</v>
      </c>
      <c r="B22" s="2">
        <v>1</v>
      </c>
      <c r="C22" s="2" t="s">
        <v>66</v>
      </c>
      <c r="D22" s="2" t="s">
        <v>12</v>
      </c>
      <c r="E22" s="2" t="s">
        <v>19</v>
      </c>
      <c r="F22" s="2" t="s">
        <v>31</v>
      </c>
      <c r="G22" s="3" t="s">
        <v>81</v>
      </c>
      <c r="H22" s="4">
        <v>900</v>
      </c>
      <c r="I22" s="2" t="s">
        <v>20</v>
      </c>
      <c r="J22" s="2"/>
      <c r="K22" s="22">
        <f t="shared" si="0"/>
        <v>0</v>
      </c>
    </row>
    <row r="23" spans="1:11" x14ac:dyDescent="0.45">
      <c r="A23" s="5" t="s">
        <v>82</v>
      </c>
      <c r="B23" s="5">
        <v>9</v>
      </c>
      <c r="C23" s="5" t="s">
        <v>40</v>
      </c>
      <c r="D23" s="5" t="s">
        <v>41</v>
      </c>
      <c r="E23" s="5" t="s">
        <v>57</v>
      </c>
      <c r="F23" s="5" t="s">
        <v>75</v>
      </c>
      <c r="G23" s="6" t="s">
        <v>83</v>
      </c>
      <c r="H23" s="7">
        <v>16600</v>
      </c>
      <c r="I23" s="5" t="s">
        <v>58</v>
      </c>
      <c r="J23" s="5"/>
      <c r="K23" s="22">
        <f t="shared" si="0"/>
        <v>0</v>
      </c>
    </row>
    <row r="24" spans="1:11" x14ac:dyDescent="0.45">
      <c r="A24" s="2" t="s">
        <v>84</v>
      </c>
      <c r="B24" s="2">
        <v>5</v>
      </c>
      <c r="C24" s="2" t="s">
        <v>22</v>
      </c>
      <c r="D24" s="2" t="s">
        <v>23</v>
      </c>
      <c r="E24" s="2" t="s">
        <v>57</v>
      </c>
      <c r="F24" s="2" t="s">
        <v>85</v>
      </c>
      <c r="G24" s="3" t="s">
        <v>86</v>
      </c>
      <c r="H24" s="4">
        <v>10300</v>
      </c>
      <c r="I24" s="2" t="s">
        <v>58</v>
      </c>
      <c r="J24" s="2"/>
      <c r="K24" s="22">
        <f t="shared" si="0"/>
        <v>0</v>
      </c>
    </row>
    <row r="25" spans="1:11" x14ac:dyDescent="0.45">
      <c r="A25" s="5" t="s">
        <v>87</v>
      </c>
      <c r="B25" s="5">
        <v>11</v>
      </c>
      <c r="C25" s="5" t="s">
        <v>29</v>
      </c>
      <c r="D25" s="5" t="s">
        <v>30</v>
      </c>
      <c r="E25" s="5" t="s">
        <v>71</v>
      </c>
      <c r="F25" s="5" t="s">
        <v>88</v>
      </c>
      <c r="G25" s="6" t="s">
        <v>89</v>
      </c>
      <c r="H25" s="7">
        <v>59700</v>
      </c>
      <c r="I25" s="5" t="s">
        <v>72</v>
      </c>
      <c r="J25" s="5"/>
      <c r="K25" s="22">
        <f t="shared" si="0"/>
        <v>0</v>
      </c>
    </row>
    <row r="26" spans="1:11" x14ac:dyDescent="0.45">
      <c r="A26" s="2" t="s">
        <v>90</v>
      </c>
      <c r="B26" s="2">
        <v>8</v>
      </c>
      <c r="C26" s="2" t="s">
        <v>60</v>
      </c>
      <c r="D26" s="2" t="s">
        <v>41</v>
      </c>
      <c r="E26" s="2" t="s">
        <v>13</v>
      </c>
      <c r="F26" s="2" t="s">
        <v>50</v>
      </c>
      <c r="G26" s="3" t="s">
        <v>91</v>
      </c>
      <c r="H26" s="4">
        <v>33400</v>
      </c>
      <c r="I26" s="2" t="s">
        <v>16</v>
      </c>
      <c r="J26" s="2"/>
      <c r="K26" s="22">
        <f t="shared" si="0"/>
        <v>0</v>
      </c>
    </row>
    <row r="27" spans="1:11" x14ac:dyDescent="0.45">
      <c r="A27" s="5" t="s">
        <v>92</v>
      </c>
      <c r="B27" s="5">
        <v>12</v>
      </c>
      <c r="C27" s="5" t="s">
        <v>34</v>
      </c>
      <c r="D27" s="5" t="s">
        <v>30</v>
      </c>
      <c r="E27" s="5" t="s">
        <v>24</v>
      </c>
      <c r="F27" s="5" t="s">
        <v>14</v>
      </c>
      <c r="G27" s="6" t="s">
        <v>15</v>
      </c>
      <c r="H27" s="7">
        <v>122000</v>
      </c>
      <c r="I27" s="5" t="s">
        <v>27</v>
      </c>
      <c r="J27" s="5"/>
      <c r="K27" s="22">
        <f t="shared" si="0"/>
        <v>0</v>
      </c>
    </row>
    <row r="28" spans="1:11" x14ac:dyDescent="0.45">
      <c r="A28" s="2" t="s">
        <v>93</v>
      </c>
      <c r="B28" s="2">
        <v>2</v>
      </c>
      <c r="C28" s="2" t="s">
        <v>11</v>
      </c>
      <c r="D28" s="2" t="s">
        <v>12</v>
      </c>
      <c r="E28" s="2" t="s">
        <v>71</v>
      </c>
      <c r="F28" s="2" t="s">
        <v>94</v>
      </c>
      <c r="G28" s="3" t="s">
        <v>95</v>
      </c>
      <c r="H28" s="4">
        <v>27200</v>
      </c>
      <c r="I28" s="2" t="s">
        <v>72</v>
      </c>
      <c r="J28" s="2"/>
      <c r="K28" s="22">
        <f t="shared" si="0"/>
        <v>0</v>
      </c>
    </row>
    <row r="29" spans="1:11" x14ac:dyDescent="0.45">
      <c r="A29" s="5" t="s">
        <v>96</v>
      </c>
      <c r="B29" s="5">
        <v>1</v>
      </c>
      <c r="C29" s="5" t="s">
        <v>66</v>
      </c>
      <c r="D29" s="5" t="s">
        <v>12</v>
      </c>
      <c r="E29" s="5" t="s">
        <v>19</v>
      </c>
      <c r="F29" s="5" t="s">
        <v>63</v>
      </c>
      <c r="G29" s="6" t="s">
        <v>97</v>
      </c>
      <c r="H29" s="7">
        <v>11700</v>
      </c>
      <c r="I29" s="5" t="s">
        <v>20</v>
      </c>
      <c r="J29" s="5"/>
      <c r="K29" s="22">
        <f t="shared" si="0"/>
        <v>0</v>
      </c>
    </row>
    <row r="30" spans="1:11" x14ac:dyDescent="0.45">
      <c r="A30" s="2" t="s">
        <v>98</v>
      </c>
      <c r="B30" s="2">
        <v>5</v>
      </c>
      <c r="C30" s="2" t="s">
        <v>22</v>
      </c>
      <c r="D30" s="2" t="s">
        <v>23</v>
      </c>
      <c r="E30" s="2" t="s">
        <v>35</v>
      </c>
      <c r="F30" s="2" t="s">
        <v>75</v>
      </c>
      <c r="G30" s="3" t="s">
        <v>83</v>
      </c>
      <c r="H30" s="4">
        <v>2400</v>
      </c>
      <c r="I30" s="2" t="s">
        <v>38</v>
      </c>
      <c r="J30" s="2"/>
      <c r="K30" s="22">
        <f t="shared" si="0"/>
        <v>0</v>
      </c>
    </row>
    <row r="31" spans="1:11" x14ac:dyDescent="0.45">
      <c r="A31" s="5" t="s">
        <v>99</v>
      </c>
      <c r="B31" s="5">
        <v>7</v>
      </c>
      <c r="C31" s="5" t="s">
        <v>56</v>
      </c>
      <c r="D31" s="5" t="s">
        <v>41</v>
      </c>
      <c r="E31" s="5" t="s">
        <v>24</v>
      </c>
      <c r="F31" s="5" t="s">
        <v>25</v>
      </c>
      <c r="G31" s="6" t="s">
        <v>100</v>
      </c>
      <c r="H31" s="7">
        <v>70000</v>
      </c>
      <c r="I31" s="5" t="s">
        <v>27</v>
      </c>
      <c r="J31" s="5"/>
      <c r="K31" s="22">
        <f t="shared" si="0"/>
        <v>0</v>
      </c>
    </row>
    <row r="32" spans="1:11" x14ac:dyDescent="0.45">
      <c r="A32" s="2" t="s">
        <v>101</v>
      </c>
      <c r="B32" s="2">
        <v>2</v>
      </c>
      <c r="C32" s="2" t="s">
        <v>11</v>
      </c>
      <c r="D32" s="2" t="s">
        <v>12</v>
      </c>
      <c r="E32" s="2" t="s">
        <v>13</v>
      </c>
      <c r="F32" s="2" t="s">
        <v>102</v>
      </c>
      <c r="G32" s="3" t="s">
        <v>103</v>
      </c>
      <c r="H32" s="4">
        <v>94300</v>
      </c>
      <c r="I32" s="2" t="s">
        <v>16</v>
      </c>
      <c r="J32" s="2"/>
      <c r="K32" s="22">
        <f t="shared" si="0"/>
        <v>0</v>
      </c>
    </row>
    <row r="33" spans="1:11" x14ac:dyDescent="0.45">
      <c r="A33" s="5" t="s">
        <v>104</v>
      </c>
      <c r="B33" s="5">
        <v>6</v>
      </c>
      <c r="C33" s="5" t="s">
        <v>78</v>
      </c>
      <c r="D33" s="5" t="s">
        <v>23</v>
      </c>
      <c r="E33" s="5" t="s">
        <v>35</v>
      </c>
      <c r="F33" s="5" t="s">
        <v>105</v>
      </c>
      <c r="G33" s="6" t="s">
        <v>106</v>
      </c>
      <c r="H33" s="7">
        <v>9100</v>
      </c>
      <c r="I33" s="5" t="s">
        <v>38</v>
      </c>
      <c r="J33" s="5"/>
      <c r="K33" s="22">
        <f t="shared" si="0"/>
        <v>0</v>
      </c>
    </row>
    <row r="34" spans="1:11" x14ac:dyDescent="0.45">
      <c r="A34" s="2" t="s">
        <v>107</v>
      </c>
      <c r="B34" s="2">
        <v>6</v>
      </c>
      <c r="C34" s="2" t="s">
        <v>78</v>
      </c>
      <c r="D34" s="2" t="s">
        <v>23</v>
      </c>
      <c r="E34" s="2" t="s">
        <v>57</v>
      </c>
      <c r="F34" s="2" t="s">
        <v>85</v>
      </c>
      <c r="G34" s="3" t="s">
        <v>86</v>
      </c>
      <c r="H34" s="4">
        <v>33400</v>
      </c>
      <c r="I34" s="2" t="s">
        <v>58</v>
      </c>
      <c r="J34" s="2" t="s">
        <v>108</v>
      </c>
      <c r="K34" s="22">
        <f t="shared" si="0"/>
        <v>1</v>
      </c>
    </row>
    <row r="35" spans="1:11" x14ac:dyDescent="0.45">
      <c r="A35" s="5" t="s">
        <v>109</v>
      </c>
      <c r="B35" s="5">
        <v>11</v>
      </c>
      <c r="C35" s="5" t="s">
        <v>29</v>
      </c>
      <c r="D35" s="5" t="s">
        <v>30</v>
      </c>
      <c r="E35" s="5" t="s">
        <v>24</v>
      </c>
      <c r="F35" s="5" t="s">
        <v>14</v>
      </c>
      <c r="G35" s="6" t="s">
        <v>42</v>
      </c>
      <c r="H35" s="7">
        <v>7100</v>
      </c>
      <c r="I35" s="5" t="s">
        <v>27</v>
      </c>
      <c r="J35" s="5"/>
      <c r="K35" s="22">
        <f t="shared" si="0"/>
        <v>0</v>
      </c>
    </row>
    <row r="36" spans="1:11" x14ac:dyDescent="0.45">
      <c r="A36" s="2" t="s">
        <v>110</v>
      </c>
      <c r="B36" s="2">
        <v>11</v>
      </c>
      <c r="C36" s="2" t="s">
        <v>29</v>
      </c>
      <c r="D36" s="2" t="s">
        <v>30</v>
      </c>
      <c r="E36" s="2" t="s">
        <v>35</v>
      </c>
      <c r="F36" s="2" t="s">
        <v>36</v>
      </c>
      <c r="G36" s="3" t="s">
        <v>111</v>
      </c>
      <c r="H36" s="4">
        <v>24300</v>
      </c>
      <c r="I36" s="2" t="s">
        <v>38</v>
      </c>
      <c r="J36" s="2"/>
      <c r="K36" s="22">
        <f t="shared" si="0"/>
        <v>0</v>
      </c>
    </row>
    <row r="37" spans="1:11" x14ac:dyDescent="0.45">
      <c r="A37" s="5" t="s">
        <v>112</v>
      </c>
      <c r="B37" s="5">
        <v>10</v>
      </c>
      <c r="C37" s="5" t="s">
        <v>40</v>
      </c>
      <c r="D37" s="5" t="s">
        <v>30</v>
      </c>
      <c r="E37" s="5" t="s">
        <v>19</v>
      </c>
      <c r="F37" s="5" t="s">
        <v>31</v>
      </c>
      <c r="G37" s="6" t="s">
        <v>81</v>
      </c>
      <c r="H37" s="7">
        <v>27700</v>
      </c>
      <c r="I37" s="5" t="s">
        <v>20</v>
      </c>
      <c r="J37" s="5"/>
      <c r="K37" s="22">
        <f t="shared" si="0"/>
        <v>0</v>
      </c>
    </row>
    <row r="38" spans="1:11" x14ac:dyDescent="0.45">
      <c r="A38" s="2" t="s">
        <v>113</v>
      </c>
      <c r="B38" s="2">
        <v>9</v>
      </c>
      <c r="C38" s="2" t="s">
        <v>40</v>
      </c>
      <c r="D38" s="2" t="s">
        <v>41</v>
      </c>
      <c r="E38" s="2" t="s">
        <v>13</v>
      </c>
      <c r="F38" s="2" t="s">
        <v>50</v>
      </c>
      <c r="G38" s="3" t="s">
        <v>91</v>
      </c>
      <c r="H38" s="4">
        <v>7300</v>
      </c>
      <c r="I38" s="2" t="s">
        <v>16</v>
      </c>
      <c r="J38" s="2"/>
      <c r="K38" s="22">
        <f t="shared" si="0"/>
        <v>0</v>
      </c>
    </row>
    <row r="39" spans="1:11" x14ac:dyDescent="0.45">
      <c r="A39" s="5" t="s">
        <v>114</v>
      </c>
      <c r="B39" s="5">
        <v>11</v>
      </c>
      <c r="C39" s="5" t="s">
        <v>29</v>
      </c>
      <c r="D39" s="5" t="s">
        <v>30</v>
      </c>
      <c r="E39" s="5" t="s">
        <v>19</v>
      </c>
      <c r="F39" s="5" t="s">
        <v>53</v>
      </c>
      <c r="G39" s="6" t="s">
        <v>54</v>
      </c>
      <c r="H39" s="7">
        <v>21300</v>
      </c>
      <c r="I39" s="5" t="s">
        <v>20</v>
      </c>
      <c r="J39" s="5"/>
      <c r="K39" s="22">
        <f t="shared" si="0"/>
        <v>0</v>
      </c>
    </row>
    <row r="40" spans="1:11" x14ac:dyDescent="0.45">
      <c r="A40" s="2" t="s">
        <v>115</v>
      </c>
      <c r="B40" s="2">
        <v>3</v>
      </c>
      <c r="C40" s="2" t="s">
        <v>18</v>
      </c>
      <c r="D40" s="2" t="s">
        <v>12</v>
      </c>
      <c r="E40" s="2" t="s">
        <v>35</v>
      </c>
      <c r="F40" s="2" t="s">
        <v>14</v>
      </c>
      <c r="G40" s="3" t="s">
        <v>48</v>
      </c>
      <c r="H40" s="4">
        <v>110800</v>
      </c>
      <c r="I40" s="2" t="s">
        <v>38</v>
      </c>
      <c r="J40" s="2"/>
      <c r="K40" s="22">
        <f t="shared" si="0"/>
        <v>0</v>
      </c>
    </row>
    <row r="41" spans="1:11" x14ac:dyDescent="0.45">
      <c r="A41" s="5" t="s">
        <v>116</v>
      </c>
      <c r="B41" s="5">
        <v>11</v>
      </c>
      <c r="C41" s="5" t="s">
        <v>29</v>
      </c>
      <c r="D41" s="5" t="s">
        <v>30</v>
      </c>
      <c r="E41" s="5" t="s">
        <v>35</v>
      </c>
      <c r="F41" s="5" t="s">
        <v>14</v>
      </c>
      <c r="G41" s="6" t="s">
        <v>42</v>
      </c>
      <c r="H41" s="7">
        <v>141200</v>
      </c>
      <c r="I41" s="5" t="s">
        <v>38</v>
      </c>
      <c r="J41" s="5"/>
      <c r="K41" s="22">
        <f t="shared" si="0"/>
        <v>0</v>
      </c>
    </row>
    <row r="42" spans="1:11" x14ac:dyDescent="0.45">
      <c r="A42" s="2" t="s">
        <v>117</v>
      </c>
      <c r="B42" s="2">
        <v>5</v>
      </c>
      <c r="C42" s="2" t="s">
        <v>22</v>
      </c>
      <c r="D42" s="2" t="s">
        <v>23</v>
      </c>
      <c r="E42" s="2" t="s">
        <v>71</v>
      </c>
      <c r="F42" s="2" t="s">
        <v>63</v>
      </c>
      <c r="G42" s="3" t="s">
        <v>69</v>
      </c>
      <c r="H42" s="4">
        <v>2000</v>
      </c>
      <c r="I42" s="2" t="s">
        <v>72</v>
      </c>
      <c r="J42" s="2"/>
      <c r="K42" s="22">
        <f t="shared" si="0"/>
        <v>0</v>
      </c>
    </row>
    <row r="43" spans="1:11" x14ac:dyDescent="0.45">
      <c r="A43" s="5" t="s">
        <v>118</v>
      </c>
      <c r="B43" s="5">
        <v>1</v>
      </c>
      <c r="C43" s="5" t="s">
        <v>66</v>
      </c>
      <c r="D43" s="5" t="s">
        <v>12</v>
      </c>
      <c r="E43" s="5" t="s">
        <v>13</v>
      </c>
      <c r="F43" s="5" t="s">
        <v>102</v>
      </c>
      <c r="G43" s="6" t="s">
        <v>103</v>
      </c>
      <c r="H43" s="7">
        <v>117500</v>
      </c>
      <c r="I43" s="5" t="s">
        <v>16</v>
      </c>
      <c r="J43" s="5"/>
      <c r="K43" s="22">
        <f t="shared" si="0"/>
        <v>0</v>
      </c>
    </row>
    <row r="44" spans="1:11" x14ac:dyDescent="0.45">
      <c r="A44" s="2" t="s">
        <v>119</v>
      </c>
      <c r="B44" s="2">
        <v>8</v>
      </c>
      <c r="C44" s="2" t="s">
        <v>60</v>
      </c>
      <c r="D44" s="2" t="s">
        <v>41</v>
      </c>
      <c r="E44" s="2" t="s">
        <v>13</v>
      </c>
      <c r="F44" s="2" t="s">
        <v>50</v>
      </c>
      <c r="G44" s="3" t="s">
        <v>91</v>
      </c>
      <c r="H44" s="4">
        <v>13100</v>
      </c>
      <c r="I44" s="2" t="s">
        <v>16</v>
      </c>
      <c r="J44" s="2"/>
      <c r="K44" s="22">
        <f t="shared" si="0"/>
        <v>0</v>
      </c>
    </row>
    <row r="45" spans="1:11" x14ac:dyDescent="0.45">
      <c r="A45" s="5" t="s">
        <v>120</v>
      </c>
      <c r="B45" s="5">
        <v>9</v>
      </c>
      <c r="C45" s="5" t="s">
        <v>40</v>
      </c>
      <c r="D45" s="5" t="s">
        <v>41</v>
      </c>
      <c r="E45" s="5" t="s">
        <v>19</v>
      </c>
      <c r="F45" s="5" t="s">
        <v>53</v>
      </c>
      <c r="G45" s="6" t="s">
        <v>121</v>
      </c>
      <c r="H45" s="7">
        <v>800</v>
      </c>
      <c r="I45" s="5" t="s">
        <v>20</v>
      </c>
      <c r="J45" s="5"/>
      <c r="K45" s="22">
        <f t="shared" si="0"/>
        <v>0</v>
      </c>
    </row>
    <row r="46" spans="1:11" x14ac:dyDescent="0.45">
      <c r="A46" s="2" t="s">
        <v>122</v>
      </c>
      <c r="B46" s="2">
        <v>3</v>
      </c>
      <c r="C46" s="2" t="s">
        <v>18</v>
      </c>
      <c r="D46" s="2" t="s">
        <v>12</v>
      </c>
      <c r="E46" s="2" t="s">
        <v>24</v>
      </c>
      <c r="F46" s="2" t="s">
        <v>44</v>
      </c>
      <c r="G46" s="3" t="s">
        <v>123</v>
      </c>
      <c r="H46" s="4">
        <v>3500</v>
      </c>
      <c r="I46" s="2" t="s">
        <v>27</v>
      </c>
      <c r="J46" s="2"/>
      <c r="K46" s="22">
        <f t="shared" si="0"/>
        <v>0</v>
      </c>
    </row>
    <row r="47" spans="1:11" x14ac:dyDescent="0.45">
      <c r="A47" s="5" t="s">
        <v>124</v>
      </c>
      <c r="B47" s="5">
        <v>10</v>
      </c>
      <c r="C47" s="5" t="s">
        <v>40</v>
      </c>
      <c r="D47" s="5" t="s">
        <v>30</v>
      </c>
      <c r="E47" s="5" t="s">
        <v>19</v>
      </c>
      <c r="F47" s="5" t="s">
        <v>53</v>
      </c>
      <c r="G47" s="6" t="s">
        <v>54</v>
      </c>
      <c r="H47" s="7">
        <v>23900</v>
      </c>
      <c r="I47" s="5" t="s">
        <v>20</v>
      </c>
      <c r="J47" s="5"/>
      <c r="K47" s="22">
        <f t="shared" si="0"/>
        <v>0</v>
      </c>
    </row>
    <row r="48" spans="1:11" x14ac:dyDescent="0.45">
      <c r="A48" s="2" t="s">
        <v>125</v>
      </c>
      <c r="B48" s="2">
        <v>4</v>
      </c>
      <c r="C48" s="2" t="s">
        <v>47</v>
      </c>
      <c r="D48" s="2" t="s">
        <v>23</v>
      </c>
      <c r="E48" s="2" t="s">
        <v>24</v>
      </c>
      <c r="F48" s="2" t="s">
        <v>36</v>
      </c>
      <c r="G48" s="3" t="s">
        <v>126</v>
      </c>
      <c r="H48" s="4">
        <v>29700</v>
      </c>
      <c r="I48" s="2" t="s">
        <v>27</v>
      </c>
      <c r="J48" s="2"/>
      <c r="K48" s="22">
        <f t="shared" si="0"/>
        <v>0</v>
      </c>
    </row>
    <row r="49" spans="1:11" x14ac:dyDescent="0.45">
      <c r="A49" s="5" t="s">
        <v>127</v>
      </c>
      <c r="B49" s="5">
        <v>11</v>
      </c>
      <c r="C49" s="5" t="s">
        <v>29</v>
      </c>
      <c r="D49" s="5" t="s">
        <v>30</v>
      </c>
      <c r="E49" s="5" t="s">
        <v>13</v>
      </c>
      <c r="F49" s="5" t="s">
        <v>14</v>
      </c>
      <c r="G49" s="6" t="s">
        <v>15</v>
      </c>
      <c r="H49" s="7">
        <v>79200</v>
      </c>
      <c r="I49" s="5" t="s">
        <v>16</v>
      </c>
      <c r="J49" s="5"/>
      <c r="K49" s="22">
        <f t="shared" si="0"/>
        <v>0</v>
      </c>
    </row>
    <row r="50" spans="1:11" x14ac:dyDescent="0.45">
      <c r="A50" s="2" t="s">
        <v>128</v>
      </c>
      <c r="B50" s="2">
        <v>7</v>
      </c>
      <c r="C50" s="2" t="s">
        <v>56</v>
      </c>
      <c r="D50" s="2" t="s">
        <v>41</v>
      </c>
      <c r="E50" s="2" t="s">
        <v>57</v>
      </c>
      <c r="F50" s="2" t="s">
        <v>85</v>
      </c>
      <c r="G50" s="3" t="s">
        <v>129</v>
      </c>
      <c r="H50" s="4">
        <v>5500</v>
      </c>
      <c r="I50" s="2" t="s">
        <v>58</v>
      </c>
      <c r="J50" s="2"/>
      <c r="K50" s="22">
        <f t="shared" si="0"/>
        <v>0</v>
      </c>
    </row>
    <row r="51" spans="1:11" x14ac:dyDescent="0.45">
      <c r="A51" s="5" t="s">
        <v>130</v>
      </c>
      <c r="B51" s="5">
        <v>7</v>
      </c>
      <c r="C51" s="5" t="s">
        <v>56</v>
      </c>
      <c r="D51" s="5" t="s">
        <v>41</v>
      </c>
      <c r="E51" s="5" t="s">
        <v>71</v>
      </c>
      <c r="F51" s="5" t="s">
        <v>14</v>
      </c>
      <c r="G51" s="6" t="s">
        <v>42</v>
      </c>
      <c r="H51" s="7">
        <v>263300</v>
      </c>
      <c r="I51" s="5" t="s">
        <v>72</v>
      </c>
      <c r="J51" s="5"/>
      <c r="K51" s="22">
        <f t="shared" si="0"/>
        <v>0</v>
      </c>
    </row>
    <row r="52" spans="1:11" x14ac:dyDescent="0.45">
      <c r="A52" s="2" t="s">
        <v>131</v>
      </c>
      <c r="B52" s="2">
        <v>4</v>
      </c>
      <c r="C52" s="2" t="s">
        <v>47</v>
      </c>
      <c r="D52" s="2" t="s">
        <v>23</v>
      </c>
      <c r="E52" s="2" t="s">
        <v>19</v>
      </c>
      <c r="F52" s="2" t="s">
        <v>31</v>
      </c>
      <c r="G52" s="3" t="s">
        <v>32</v>
      </c>
      <c r="H52" s="4">
        <v>23400</v>
      </c>
      <c r="I52" s="2" t="s">
        <v>20</v>
      </c>
      <c r="J52" s="2"/>
      <c r="K52" s="22">
        <f t="shared" si="0"/>
        <v>0</v>
      </c>
    </row>
    <row r="53" spans="1:11" x14ac:dyDescent="0.45">
      <c r="A53" s="5" t="s">
        <v>132</v>
      </c>
      <c r="B53" s="5">
        <v>8</v>
      </c>
      <c r="C53" s="5" t="s">
        <v>60</v>
      </c>
      <c r="D53" s="5" t="s">
        <v>41</v>
      </c>
      <c r="E53" s="5" t="s">
        <v>35</v>
      </c>
      <c r="F53" s="5" t="s">
        <v>105</v>
      </c>
      <c r="G53" s="6" t="s">
        <v>133</v>
      </c>
      <c r="H53" s="7">
        <v>45500</v>
      </c>
      <c r="I53" s="5" t="s">
        <v>38</v>
      </c>
      <c r="J53" s="5"/>
      <c r="K53" s="22">
        <f t="shared" si="0"/>
        <v>0</v>
      </c>
    </row>
    <row r="54" spans="1:11" x14ac:dyDescent="0.45">
      <c r="A54" s="2" t="s">
        <v>134</v>
      </c>
      <c r="B54" s="2">
        <v>5</v>
      </c>
      <c r="C54" s="2" t="s">
        <v>22</v>
      </c>
      <c r="D54" s="2" t="s">
        <v>23</v>
      </c>
      <c r="E54" s="2" t="s">
        <v>19</v>
      </c>
      <c r="F54" s="2" t="s">
        <v>63</v>
      </c>
      <c r="G54" s="3" t="s">
        <v>64</v>
      </c>
      <c r="H54" s="4">
        <v>4900</v>
      </c>
      <c r="I54" s="2" t="s">
        <v>20</v>
      </c>
      <c r="J54" s="2"/>
      <c r="K54" s="22">
        <f t="shared" si="0"/>
        <v>0</v>
      </c>
    </row>
    <row r="55" spans="1:11" x14ac:dyDescent="0.45">
      <c r="A55" s="5" t="s">
        <v>135</v>
      </c>
      <c r="B55" s="5">
        <v>6</v>
      </c>
      <c r="C55" s="5" t="s">
        <v>78</v>
      </c>
      <c r="D55" s="5" t="s">
        <v>23</v>
      </c>
      <c r="E55" s="5" t="s">
        <v>57</v>
      </c>
      <c r="F55" s="5" t="s">
        <v>85</v>
      </c>
      <c r="G55" s="6" t="s">
        <v>86</v>
      </c>
      <c r="H55" s="7">
        <v>16700</v>
      </c>
      <c r="I55" s="5" t="s">
        <v>58</v>
      </c>
      <c r="J55" s="5" t="s">
        <v>108</v>
      </c>
      <c r="K55" s="22">
        <f t="shared" si="0"/>
        <v>1</v>
      </c>
    </row>
    <row r="56" spans="1:11" x14ac:dyDescent="0.45">
      <c r="A56" s="2" t="s">
        <v>136</v>
      </c>
      <c r="B56" s="2">
        <v>10</v>
      </c>
      <c r="C56" s="2" t="s">
        <v>40</v>
      </c>
      <c r="D56" s="2" t="s">
        <v>30</v>
      </c>
      <c r="E56" s="2" t="s">
        <v>13</v>
      </c>
      <c r="F56" s="2" t="s">
        <v>14</v>
      </c>
      <c r="G56" s="3" t="s">
        <v>42</v>
      </c>
      <c r="H56" s="4">
        <v>15400</v>
      </c>
      <c r="I56" s="2" t="s">
        <v>16</v>
      </c>
      <c r="J56" s="2"/>
      <c r="K56" s="22">
        <f t="shared" si="0"/>
        <v>0</v>
      </c>
    </row>
    <row r="57" spans="1:11" x14ac:dyDescent="0.45">
      <c r="A57" s="5" t="s">
        <v>137</v>
      </c>
      <c r="B57" s="5">
        <v>1</v>
      </c>
      <c r="C57" s="5" t="s">
        <v>66</v>
      </c>
      <c r="D57" s="5" t="s">
        <v>12</v>
      </c>
      <c r="E57" s="5" t="s">
        <v>71</v>
      </c>
      <c r="F57" s="5" t="s">
        <v>94</v>
      </c>
      <c r="G57" s="6" t="s">
        <v>138</v>
      </c>
      <c r="H57" s="7">
        <v>2400</v>
      </c>
      <c r="I57" s="5" t="s">
        <v>72</v>
      </c>
      <c r="J57" s="5"/>
      <c r="K57" s="22">
        <f t="shared" si="0"/>
        <v>0</v>
      </c>
    </row>
    <row r="58" spans="1:11" x14ac:dyDescent="0.45">
      <c r="A58" s="2" t="s">
        <v>139</v>
      </c>
      <c r="B58" s="2">
        <v>6</v>
      </c>
      <c r="C58" s="2" t="s">
        <v>78</v>
      </c>
      <c r="D58" s="2" t="s">
        <v>23</v>
      </c>
      <c r="E58" s="2" t="s">
        <v>13</v>
      </c>
      <c r="F58" s="2" t="s">
        <v>102</v>
      </c>
      <c r="G58" s="3" t="s">
        <v>140</v>
      </c>
      <c r="H58" s="4">
        <v>24000</v>
      </c>
      <c r="I58" s="2" t="s">
        <v>16</v>
      </c>
      <c r="J58" s="2"/>
      <c r="K58" s="22">
        <f t="shared" si="0"/>
        <v>0</v>
      </c>
    </row>
    <row r="59" spans="1:11" x14ac:dyDescent="0.45">
      <c r="A59" s="5" t="s">
        <v>141</v>
      </c>
      <c r="B59" s="5">
        <v>9</v>
      </c>
      <c r="C59" s="5" t="s">
        <v>40</v>
      </c>
      <c r="D59" s="5" t="s">
        <v>41</v>
      </c>
      <c r="E59" s="5" t="s">
        <v>24</v>
      </c>
      <c r="F59" s="5" t="s">
        <v>44</v>
      </c>
      <c r="G59" s="6" t="s">
        <v>67</v>
      </c>
      <c r="H59" s="7">
        <v>18800</v>
      </c>
      <c r="I59" s="5" t="s">
        <v>27</v>
      </c>
      <c r="J59" s="5"/>
      <c r="K59" s="22">
        <f t="shared" si="0"/>
        <v>0</v>
      </c>
    </row>
    <row r="60" spans="1:11" x14ac:dyDescent="0.45">
      <c r="A60" s="2" t="s">
        <v>142</v>
      </c>
      <c r="B60" s="2">
        <v>1</v>
      </c>
      <c r="C60" s="2" t="s">
        <v>66</v>
      </c>
      <c r="D60" s="2" t="s">
        <v>12</v>
      </c>
      <c r="E60" s="2" t="s">
        <v>71</v>
      </c>
      <c r="F60" s="2" t="s">
        <v>63</v>
      </c>
      <c r="G60" s="3" t="s">
        <v>97</v>
      </c>
      <c r="H60" s="4">
        <v>4000</v>
      </c>
      <c r="I60" s="2" t="s">
        <v>72</v>
      </c>
      <c r="J60" s="2"/>
      <c r="K60" s="22">
        <f t="shared" si="0"/>
        <v>0</v>
      </c>
    </row>
    <row r="61" spans="1:11" x14ac:dyDescent="0.45">
      <c r="A61" s="5" t="s">
        <v>143</v>
      </c>
      <c r="B61" s="5">
        <v>10</v>
      </c>
      <c r="C61" s="5" t="s">
        <v>40</v>
      </c>
      <c r="D61" s="5" t="s">
        <v>30</v>
      </c>
      <c r="E61" s="5" t="s">
        <v>13</v>
      </c>
      <c r="F61" s="5" t="s">
        <v>50</v>
      </c>
      <c r="G61" s="6" t="s">
        <v>144</v>
      </c>
      <c r="H61" s="7">
        <v>55000</v>
      </c>
      <c r="I61" s="5" t="s">
        <v>16</v>
      </c>
      <c r="J61" s="5"/>
      <c r="K61" s="22">
        <f t="shared" si="0"/>
        <v>0</v>
      </c>
    </row>
    <row r="62" spans="1:11" x14ac:dyDescent="0.45">
      <c r="A62" s="2" t="s">
        <v>145</v>
      </c>
      <c r="B62" s="2">
        <v>5</v>
      </c>
      <c r="C62" s="2" t="s">
        <v>22</v>
      </c>
      <c r="D62" s="2" t="s">
        <v>23</v>
      </c>
      <c r="E62" s="2" t="s">
        <v>19</v>
      </c>
      <c r="F62" s="2" t="s">
        <v>14</v>
      </c>
      <c r="G62" s="3" t="s">
        <v>42</v>
      </c>
      <c r="H62" s="4">
        <v>44600</v>
      </c>
      <c r="I62" s="2" t="s">
        <v>20</v>
      </c>
      <c r="J62" s="2"/>
      <c r="K62" s="22">
        <f t="shared" si="0"/>
        <v>0</v>
      </c>
    </row>
    <row r="63" spans="1:11" x14ac:dyDescent="0.45">
      <c r="A63" s="5" t="s">
        <v>146</v>
      </c>
      <c r="B63" s="5">
        <v>9</v>
      </c>
      <c r="C63" s="5" t="s">
        <v>40</v>
      </c>
      <c r="D63" s="5" t="s">
        <v>41</v>
      </c>
      <c r="E63" s="5" t="s">
        <v>13</v>
      </c>
      <c r="F63" s="5" t="s">
        <v>50</v>
      </c>
      <c r="G63" s="6" t="s">
        <v>144</v>
      </c>
      <c r="H63" s="7">
        <v>5200</v>
      </c>
      <c r="I63" s="5" t="s">
        <v>16</v>
      </c>
      <c r="J63" s="5"/>
      <c r="K63" s="22">
        <f t="shared" si="0"/>
        <v>0</v>
      </c>
    </row>
    <row r="64" spans="1:11" x14ac:dyDescent="0.45">
      <c r="A64" s="2" t="s">
        <v>147</v>
      </c>
      <c r="B64" s="2">
        <v>12</v>
      </c>
      <c r="C64" s="2" t="s">
        <v>34</v>
      </c>
      <c r="D64" s="2" t="s">
        <v>30</v>
      </c>
      <c r="E64" s="2" t="s">
        <v>13</v>
      </c>
      <c r="F64" s="2" t="s">
        <v>50</v>
      </c>
      <c r="G64" s="3" t="s">
        <v>51</v>
      </c>
      <c r="H64" s="4">
        <v>22600</v>
      </c>
      <c r="I64" s="2" t="s">
        <v>16</v>
      </c>
      <c r="J64" s="2"/>
      <c r="K64" s="22">
        <f t="shared" si="0"/>
        <v>0</v>
      </c>
    </row>
    <row r="65" spans="1:11" x14ac:dyDescent="0.45">
      <c r="A65" s="5" t="s">
        <v>148</v>
      </c>
      <c r="B65" s="5">
        <v>11</v>
      </c>
      <c r="C65" s="5" t="s">
        <v>29</v>
      </c>
      <c r="D65" s="5" t="s">
        <v>30</v>
      </c>
      <c r="E65" s="5" t="s">
        <v>13</v>
      </c>
      <c r="F65" s="5" t="s">
        <v>14</v>
      </c>
      <c r="G65" s="6" t="s">
        <v>48</v>
      </c>
      <c r="H65" s="7">
        <v>16000</v>
      </c>
      <c r="I65" s="5" t="s">
        <v>16</v>
      </c>
      <c r="J65" s="5"/>
      <c r="K65" s="22">
        <f t="shared" si="0"/>
        <v>0</v>
      </c>
    </row>
    <row r="66" spans="1:11" x14ac:dyDescent="0.45">
      <c r="A66" s="2" t="s">
        <v>149</v>
      </c>
      <c r="B66" s="2">
        <v>10</v>
      </c>
      <c r="C66" s="2" t="s">
        <v>40</v>
      </c>
      <c r="D66" s="2" t="s">
        <v>30</v>
      </c>
      <c r="E66" s="2" t="s">
        <v>35</v>
      </c>
      <c r="F66" s="2" t="s">
        <v>105</v>
      </c>
      <c r="G66" s="3" t="s">
        <v>150</v>
      </c>
      <c r="H66" s="4">
        <v>7000</v>
      </c>
      <c r="I66" s="2" t="s">
        <v>38</v>
      </c>
      <c r="J66" s="2"/>
      <c r="K66" s="22">
        <f t="shared" si="0"/>
        <v>0</v>
      </c>
    </row>
    <row r="67" spans="1:11" x14ac:dyDescent="0.45">
      <c r="A67" s="5" t="s">
        <v>151</v>
      </c>
      <c r="B67" s="5">
        <v>4</v>
      </c>
      <c r="C67" s="5" t="s">
        <v>47</v>
      </c>
      <c r="D67" s="5" t="s">
        <v>23</v>
      </c>
      <c r="E67" s="5" t="s">
        <v>35</v>
      </c>
      <c r="F67" s="5" t="s">
        <v>14</v>
      </c>
      <c r="G67" s="6" t="s">
        <v>42</v>
      </c>
      <c r="H67" s="7">
        <v>46100</v>
      </c>
      <c r="I67" s="5" t="s">
        <v>38</v>
      </c>
      <c r="J67" s="5"/>
      <c r="K67" s="22">
        <f t="shared" ref="K67:K130" si="1">IF(J67=$N$2,0,IF(J67=$N$3,1,IF(J67=$N$4,2)))</f>
        <v>0</v>
      </c>
    </row>
    <row r="68" spans="1:11" x14ac:dyDescent="0.45">
      <c r="A68" s="2" t="s">
        <v>152</v>
      </c>
      <c r="B68" s="2">
        <v>11</v>
      </c>
      <c r="C68" s="2" t="s">
        <v>29</v>
      </c>
      <c r="D68" s="2" t="s">
        <v>30</v>
      </c>
      <c r="E68" s="2" t="s">
        <v>35</v>
      </c>
      <c r="F68" s="2" t="s">
        <v>36</v>
      </c>
      <c r="G68" s="3" t="s">
        <v>126</v>
      </c>
      <c r="H68" s="4">
        <v>3600</v>
      </c>
      <c r="I68" s="2" t="s">
        <v>38</v>
      </c>
      <c r="J68" s="2"/>
      <c r="K68" s="22">
        <f t="shared" si="1"/>
        <v>0</v>
      </c>
    </row>
    <row r="69" spans="1:11" x14ac:dyDescent="0.45">
      <c r="A69" s="5" t="s">
        <v>153</v>
      </c>
      <c r="B69" s="5">
        <v>6</v>
      </c>
      <c r="C69" s="5" t="s">
        <v>78</v>
      </c>
      <c r="D69" s="5" t="s">
        <v>23</v>
      </c>
      <c r="E69" s="5" t="s">
        <v>13</v>
      </c>
      <c r="F69" s="5" t="s">
        <v>50</v>
      </c>
      <c r="G69" s="6" t="s">
        <v>51</v>
      </c>
      <c r="H69" s="7">
        <v>65600</v>
      </c>
      <c r="I69" s="5" t="s">
        <v>16</v>
      </c>
      <c r="J69" s="5"/>
      <c r="K69" s="22">
        <f t="shared" si="1"/>
        <v>0</v>
      </c>
    </row>
    <row r="70" spans="1:11" x14ac:dyDescent="0.45">
      <c r="A70" s="2" t="s">
        <v>154</v>
      </c>
      <c r="B70" s="2">
        <v>2</v>
      </c>
      <c r="C70" s="2" t="s">
        <v>11</v>
      </c>
      <c r="D70" s="2" t="s">
        <v>12</v>
      </c>
      <c r="E70" s="2" t="s">
        <v>57</v>
      </c>
      <c r="F70" s="2" t="s">
        <v>14</v>
      </c>
      <c r="G70" s="3" t="s">
        <v>42</v>
      </c>
      <c r="H70" s="4">
        <v>159600</v>
      </c>
      <c r="I70" s="2" t="s">
        <v>58</v>
      </c>
      <c r="J70" s="2"/>
      <c r="K70" s="22">
        <f t="shared" si="1"/>
        <v>0</v>
      </c>
    </row>
    <row r="71" spans="1:11" x14ac:dyDescent="0.45">
      <c r="A71" s="5" t="s">
        <v>155</v>
      </c>
      <c r="B71" s="5">
        <v>3</v>
      </c>
      <c r="C71" s="5" t="s">
        <v>18</v>
      </c>
      <c r="D71" s="5" t="s">
        <v>12</v>
      </c>
      <c r="E71" s="5" t="s">
        <v>13</v>
      </c>
      <c r="F71" s="5" t="s">
        <v>14</v>
      </c>
      <c r="G71" s="6" t="s">
        <v>15</v>
      </c>
      <c r="H71" s="7">
        <v>29900</v>
      </c>
      <c r="I71" s="5" t="s">
        <v>16</v>
      </c>
      <c r="J71" s="5"/>
      <c r="K71" s="22">
        <f t="shared" si="1"/>
        <v>0</v>
      </c>
    </row>
    <row r="72" spans="1:11" x14ac:dyDescent="0.45">
      <c r="A72" s="2" t="s">
        <v>156</v>
      </c>
      <c r="B72" s="2">
        <v>4</v>
      </c>
      <c r="C72" s="2" t="s">
        <v>47</v>
      </c>
      <c r="D72" s="2" t="s">
        <v>23</v>
      </c>
      <c r="E72" s="2" t="s">
        <v>71</v>
      </c>
      <c r="F72" s="2" t="s">
        <v>94</v>
      </c>
      <c r="G72" s="3" t="s">
        <v>157</v>
      </c>
      <c r="H72" s="4">
        <v>1700</v>
      </c>
      <c r="I72" s="2" t="s">
        <v>72</v>
      </c>
      <c r="J72" s="2"/>
      <c r="K72" s="22">
        <f t="shared" si="1"/>
        <v>0</v>
      </c>
    </row>
    <row r="73" spans="1:11" x14ac:dyDescent="0.45">
      <c r="A73" s="5" t="s">
        <v>158</v>
      </c>
      <c r="B73" s="5">
        <v>5</v>
      </c>
      <c r="C73" s="5" t="s">
        <v>22</v>
      </c>
      <c r="D73" s="5" t="s">
        <v>23</v>
      </c>
      <c r="E73" s="5" t="s">
        <v>57</v>
      </c>
      <c r="F73" s="5" t="s">
        <v>85</v>
      </c>
      <c r="G73" s="6" t="s">
        <v>159</v>
      </c>
      <c r="H73" s="7">
        <v>20200</v>
      </c>
      <c r="I73" s="5" t="s">
        <v>58</v>
      </c>
      <c r="J73" s="5"/>
      <c r="K73" s="22">
        <f t="shared" si="1"/>
        <v>0</v>
      </c>
    </row>
    <row r="74" spans="1:11" x14ac:dyDescent="0.45">
      <c r="A74" s="2" t="s">
        <v>160</v>
      </c>
      <c r="B74" s="2">
        <v>12</v>
      </c>
      <c r="C74" s="2" t="s">
        <v>34</v>
      </c>
      <c r="D74" s="2" t="s">
        <v>30</v>
      </c>
      <c r="E74" s="2" t="s">
        <v>57</v>
      </c>
      <c r="F74" s="2" t="s">
        <v>63</v>
      </c>
      <c r="G74" s="3" t="s">
        <v>97</v>
      </c>
      <c r="H74" s="4">
        <v>5100</v>
      </c>
      <c r="I74" s="2" t="s">
        <v>58</v>
      </c>
      <c r="J74" s="2"/>
      <c r="K74" s="22">
        <f t="shared" si="1"/>
        <v>0</v>
      </c>
    </row>
    <row r="75" spans="1:11" x14ac:dyDescent="0.45">
      <c r="A75" s="5" t="s">
        <v>161</v>
      </c>
      <c r="B75" s="5">
        <v>5</v>
      </c>
      <c r="C75" s="5" t="s">
        <v>22</v>
      </c>
      <c r="D75" s="5" t="s">
        <v>23</v>
      </c>
      <c r="E75" s="5" t="s">
        <v>71</v>
      </c>
      <c r="F75" s="5" t="s">
        <v>88</v>
      </c>
      <c r="G75" s="6" t="s">
        <v>89</v>
      </c>
      <c r="H75" s="7">
        <v>46300</v>
      </c>
      <c r="I75" s="5" t="s">
        <v>72</v>
      </c>
      <c r="J75" s="5"/>
      <c r="K75" s="22">
        <f t="shared" si="1"/>
        <v>0</v>
      </c>
    </row>
    <row r="76" spans="1:11" x14ac:dyDescent="0.45">
      <c r="A76" s="2" t="s">
        <v>162</v>
      </c>
      <c r="B76" s="2">
        <v>12</v>
      </c>
      <c r="C76" s="2" t="s">
        <v>34</v>
      </c>
      <c r="D76" s="2" t="s">
        <v>30</v>
      </c>
      <c r="E76" s="2" t="s">
        <v>71</v>
      </c>
      <c r="F76" s="2" t="s">
        <v>94</v>
      </c>
      <c r="G76" s="3" t="s">
        <v>138</v>
      </c>
      <c r="H76" s="4">
        <v>1400</v>
      </c>
      <c r="I76" s="2" t="s">
        <v>72</v>
      </c>
      <c r="J76" s="2"/>
      <c r="K76" s="22">
        <f t="shared" si="1"/>
        <v>0</v>
      </c>
    </row>
    <row r="77" spans="1:11" x14ac:dyDescent="0.45">
      <c r="A77" s="5" t="s">
        <v>163</v>
      </c>
      <c r="B77" s="5">
        <v>3</v>
      </c>
      <c r="C77" s="5" t="s">
        <v>18</v>
      </c>
      <c r="D77" s="5" t="s">
        <v>12</v>
      </c>
      <c r="E77" s="5" t="s">
        <v>19</v>
      </c>
      <c r="F77" s="5" t="s">
        <v>53</v>
      </c>
      <c r="G77" s="6" t="s">
        <v>164</v>
      </c>
      <c r="H77" s="7">
        <v>2600</v>
      </c>
      <c r="I77" s="5" t="s">
        <v>20</v>
      </c>
      <c r="J77" s="5"/>
      <c r="K77" s="22">
        <f t="shared" si="1"/>
        <v>0</v>
      </c>
    </row>
    <row r="78" spans="1:11" x14ac:dyDescent="0.45">
      <c r="A78" s="2" t="s">
        <v>165</v>
      </c>
      <c r="B78" s="2">
        <v>12</v>
      </c>
      <c r="C78" s="2" t="s">
        <v>34</v>
      </c>
      <c r="D78" s="2" t="s">
        <v>30</v>
      </c>
      <c r="E78" s="2" t="s">
        <v>19</v>
      </c>
      <c r="F78" s="2" t="s">
        <v>63</v>
      </c>
      <c r="G78" s="3" t="s">
        <v>64</v>
      </c>
      <c r="H78" s="4">
        <v>1100</v>
      </c>
      <c r="I78" s="2" t="s">
        <v>20</v>
      </c>
      <c r="J78" s="2"/>
      <c r="K78" s="22">
        <f t="shared" si="1"/>
        <v>0</v>
      </c>
    </row>
    <row r="79" spans="1:11" x14ac:dyDescent="0.45">
      <c r="A79" s="5" t="s">
        <v>166</v>
      </c>
      <c r="B79" s="5">
        <v>11</v>
      </c>
      <c r="C79" s="5" t="s">
        <v>29</v>
      </c>
      <c r="D79" s="5" t="s">
        <v>30</v>
      </c>
      <c r="E79" s="5" t="s">
        <v>24</v>
      </c>
      <c r="F79" s="5" t="s">
        <v>25</v>
      </c>
      <c r="G79" s="6" t="s">
        <v>100</v>
      </c>
      <c r="H79" s="7">
        <v>96000</v>
      </c>
      <c r="I79" s="5" t="s">
        <v>27</v>
      </c>
      <c r="J79" s="5" t="s">
        <v>108</v>
      </c>
      <c r="K79" s="22">
        <f t="shared" si="1"/>
        <v>1</v>
      </c>
    </row>
    <row r="80" spans="1:11" x14ac:dyDescent="0.45">
      <c r="A80" s="2" t="s">
        <v>167</v>
      </c>
      <c r="B80" s="2">
        <v>4</v>
      </c>
      <c r="C80" s="2" t="s">
        <v>47</v>
      </c>
      <c r="D80" s="2" t="s">
        <v>23</v>
      </c>
      <c r="E80" s="2" t="s">
        <v>57</v>
      </c>
      <c r="F80" s="2" t="s">
        <v>63</v>
      </c>
      <c r="G80" s="3" t="s">
        <v>69</v>
      </c>
      <c r="H80" s="4">
        <v>5200</v>
      </c>
      <c r="I80" s="2" t="s">
        <v>58</v>
      </c>
      <c r="J80" s="2"/>
      <c r="K80" s="22">
        <f t="shared" si="1"/>
        <v>0</v>
      </c>
    </row>
    <row r="81" spans="1:11" x14ac:dyDescent="0.45">
      <c r="A81" s="5" t="s">
        <v>168</v>
      </c>
      <c r="B81" s="5">
        <v>10</v>
      </c>
      <c r="C81" s="5" t="s">
        <v>40</v>
      </c>
      <c r="D81" s="5" t="s">
        <v>30</v>
      </c>
      <c r="E81" s="5" t="s">
        <v>71</v>
      </c>
      <c r="F81" s="5" t="s">
        <v>94</v>
      </c>
      <c r="G81" s="6" t="s">
        <v>157</v>
      </c>
      <c r="H81" s="7">
        <v>3100</v>
      </c>
      <c r="I81" s="5" t="s">
        <v>72</v>
      </c>
      <c r="J81" s="5"/>
      <c r="K81" s="22">
        <f t="shared" si="1"/>
        <v>0</v>
      </c>
    </row>
    <row r="82" spans="1:11" x14ac:dyDescent="0.45">
      <c r="A82" s="2" t="s">
        <v>169</v>
      </c>
      <c r="B82" s="2">
        <v>11</v>
      </c>
      <c r="C82" s="2" t="s">
        <v>29</v>
      </c>
      <c r="D82" s="2" t="s">
        <v>30</v>
      </c>
      <c r="E82" s="2" t="s">
        <v>24</v>
      </c>
      <c r="F82" s="2" t="s">
        <v>36</v>
      </c>
      <c r="G82" s="3" t="s">
        <v>126</v>
      </c>
      <c r="H82" s="4">
        <v>41200</v>
      </c>
      <c r="I82" s="2" t="s">
        <v>27</v>
      </c>
      <c r="J82" s="2"/>
      <c r="K82" s="22">
        <f t="shared" si="1"/>
        <v>0</v>
      </c>
    </row>
    <row r="83" spans="1:11" x14ac:dyDescent="0.45">
      <c r="A83" s="5" t="s">
        <v>170</v>
      </c>
      <c r="B83" s="5">
        <v>7</v>
      </c>
      <c r="C83" s="5" t="s">
        <v>56</v>
      </c>
      <c r="D83" s="5" t="s">
        <v>41</v>
      </c>
      <c r="E83" s="5" t="s">
        <v>24</v>
      </c>
      <c r="F83" s="5" t="s">
        <v>44</v>
      </c>
      <c r="G83" s="6" t="s">
        <v>45</v>
      </c>
      <c r="H83" s="7">
        <v>10500</v>
      </c>
      <c r="I83" s="5" t="s">
        <v>27</v>
      </c>
      <c r="J83" s="5"/>
      <c r="K83" s="22">
        <f t="shared" si="1"/>
        <v>0</v>
      </c>
    </row>
    <row r="84" spans="1:11" x14ac:dyDescent="0.45">
      <c r="A84" s="2" t="s">
        <v>171</v>
      </c>
      <c r="B84" s="2">
        <v>2</v>
      </c>
      <c r="C84" s="2" t="s">
        <v>11</v>
      </c>
      <c r="D84" s="2" t="s">
        <v>12</v>
      </c>
      <c r="E84" s="2" t="s">
        <v>71</v>
      </c>
      <c r="F84" s="2" t="s">
        <v>14</v>
      </c>
      <c r="G84" s="3" t="s">
        <v>15</v>
      </c>
      <c r="H84" s="4">
        <v>34500</v>
      </c>
      <c r="I84" s="2" t="s">
        <v>72</v>
      </c>
      <c r="J84" s="2"/>
      <c r="K84" s="22">
        <f t="shared" si="1"/>
        <v>0</v>
      </c>
    </row>
    <row r="85" spans="1:11" x14ac:dyDescent="0.45">
      <c r="A85" s="5" t="s">
        <v>172</v>
      </c>
      <c r="B85" s="5">
        <v>5</v>
      </c>
      <c r="C85" s="5" t="s">
        <v>22</v>
      </c>
      <c r="D85" s="5" t="s">
        <v>23</v>
      </c>
      <c r="E85" s="5" t="s">
        <v>13</v>
      </c>
      <c r="F85" s="5" t="s">
        <v>102</v>
      </c>
      <c r="G85" s="6" t="s">
        <v>103</v>
      </c>
      <c r="H85" s="7">
        <v>80700</v>
      </c>
      <c r="I85" s="5" t="s">
        <v>16</v>
      </c>
      <c r="J85" s="5" t="s">
        <v>108</v>
      </c>
      <c r="K85" s="22">
        <f t="shared" si="1"/>
        <v>1</v>
      </c>
    </row>
    <row r="86" spans="1:11" x14ac:dyDescent="0.45">
      <c r="A86" s="2" t="s">
        <v>173</v>
      </c>
      <c r="B86" s="2">
        <v>5</v>
      </c>
      <c r="C86" s="2" t="s">
        <v>22</v>
      </c>
      <c r="D86" s="2" t="s">
        <v>23</v>
      </c>
      <c r="E86" s="2" t="s">
        <v>71</v>
      </c>
      <c r="F86" s="2" t="s">
        <v>14</v>
      </c>
      <c r="G86" s="3" t="s">
        <v>48</v>
      </c>
      <c r="H86" s="4">
        <v>42500</v>
      </c>
      <c r="I86" s="2" t="s">
        <v>72</v>
      </c>
      <c r="J86" s="2"/>
      <c r="K86" s="22">
        <f t="shared" si="1"/>
        <v>0</v>
      </c>
    </row>
    <row r="87" spans="1:11" x14ac:dyDescent="0.45">
      <c r="A87" s="5" t="s">
        <v>174</v>
      </c>
      <c r="B87" s="5">
        <v>5</v>
      </c>
      <c r="C87" s="5" t="s">
        <v>22</v>
      </c>
      <c r="D87" s="5" t="s">
        <v>23</v>
      </c>
      <c r="E87" s="5" t="s">
        <v>13</v>
      </c>
      <c r="F87" s="5" t="s">
        <v>50</v>
      </c>
      <c r="G87" s="6" t="s">
        <v>144</v>
      </c>
      <c r="H87" s="7">
        <v>36200</v>
      </c>
      <c r="I87" s="5" t="s">
        <v>16</v>
      </c>
      <c r="J87" s="5"/>
      <c r="K87" s="22">
        <f t="shared" si="1"/>
        <v>0</v>
      </c>
    </row>
    <row r="88" spans="1:11" x14ac:dyDescent="0.45">
      <c r="A88" s="2" t="s">
        <v>175</v>
      </c>
      <c r="B88" s="2">
        <v>7</v>
      </c>
      <c r="C88" s="2" t="s">
        <v>56</v>
      </c>
      <c r="D88" s="2" t="s">
        <v>41</v>
      </c>
      <c r="E88" s="2" t="s">
        <v>71</v>
      </c>
      <c r="F88" s="2" t="s">
        <v>88</v>
      </c>
      <c r="G88" s="3" t="s">
        <v>176</v>
      </c>
      <c r="H88" s="4">
        <v>34200</v>
      </c>
      <c r="I88" s="2" t="s">
        <v>72</v>
      </c>
      <c r="J88" s="2"/>
      <c r="K88" s="22">
        <f t="shared" si="1"/>
        <v>0</v>
      </c>
    </row>
    <row r="89" spans="1:11" x14ac:dyDescent="0.45">
      <c r="A89" s="5" t="s">
        <v>177</v>
      </c>
      <c r="B89" s="5">
        <v>11</v>
      </c>
      <c r="C89" s="5" t="s">
        <v>29</v>
      </c>
      <c r="D89" s="5" t="s">
        <v>30</v>
      </c>
      <c r="E89" s="5" t="s">
        <v>13</v>
      </c>
      <c r="F89" s="5" t="s">
        <v>50</v>
      </c>
      <c r="G89" s="6" t="s">
        <v>91</v>
      </c>
      <c r="H89" s="7">
        <v>54800</v>
      </c>
      <c r="I89" s="5" t="s">
        <v>16</v>
      </c>
      <c r="J89" s="5"/>
      <c r="K89" s="22">
        <f t="shared" si="1"/>
        <v>0</v>
      </c>
    </row>
    <row r="90" spans="1:11" x14ac:dyDescent="0.45">
      <c r="A90" s="2" t="s">
        <v>178</v>
      </c>
      <c r="B90" s="2">
        <v>7</v>
      </c>
      <c r="C90" s="2" t="s">
        <v>56</v>
      </c>
      <c r="D90" s="2" t="s">
        <v>41</v>
      </c>
      <c r="E90" s="2" t="s">
        <v>57</v>
      </c>
      <c r="F90" s="2" t="s">
        <v>75</v>
      </c>
      <c r="G90" s="3" t="s">
        <v>179</v>
      </c>
      <c r="H90" s="4">
        <v>800</v>
      </c>
      <c r="I90" s="2" t="s">
        <v>58</v>
      </c>
      <c r="J90" s="2"/>
      <c r="K90" s="22">
        <f t="shared" si="1"/>
        <v>0</v>
      </c>
    </row>
    <row r="91" spans="1:11" x14ac:dyDescent="0.45">
      <c r="A91" s="5" t="s">
        <v>180</v>
      </c>
      <c r="B91" s="5">
        <v>3</v>
      </c>
      <c r="C91" s="5" t="s">
        <v>18</v>
      </c>
      <c r="D91" s="5" t="s">
        <v>12</v>
      </c>
      <c r="E91" s="5" t="s">
        <v>19</v>
      </c>
      <c r="F91" s="5" t="s">
        <v>53</v>
      </c>
      <c r="G91" s="6" t="s">
        <v>54</v>
      </c>
      <c r="H91" s="7">
        <v>38100</v>
      </c>
      <c r="I91" s="5" t="s">
        <v>20</v>
      </c>
      <c r="J91" s="5"/>
      <c r="K91" s="22">
        <f t="shared" si="1"/>
        <v>0</v>
      </c>
    </row>
    <row r="92" spans="1:11" x14ac:dyDescent="0.45">
      <c r="A92" s="2" t="s">
        <v>181</v>
      </c>
      <c r="B92" s="2">
        <v>2</v>
      </c>
      <c r="C92" s="2" t="s">
        <v>11</v>
      </c>
      <c r="D92" s="2" t="s">
        <v>12</v>
      </c>
      <c r="E92" s="2" t="s">
        <v>19</v>
      </c>
      <c r="F92" s="2" t="s">
        <v>14</v>
      </c>
      <c r="G92" s="3" t="s">
        <v>48</v>
      </c>
      <c r="H92" s="4">
        <v>34000</v>
      </c>
      <c r="I92" s="2" t="s">
        <v>20</v>
      </c>
      <c r="J92" s="2"/>
      <c r="K92" s="22">
        <f t="shared" si="1"/>
        <v>0</v>
      </c>
    </row>
    <row r="93" spans="1:11" x14ac:dyDescent="0.45">
      <c r="A93" s="5" t="s">
        <v>182</v>
      </c>
      <c r="B93" s="5">
        <v>11</v>
      </c>
      <c r="C93" s="5" t="s">
        <v>29</v>
      </c>
      <c r="D93" s="5" t="s">
        <v>30</v>
      </c>
      <c r="E93" s="5" t="s">
        <v>35</v>
      </c>
      <c r="F93" s="5" t="s">
        <v>75</v>
      </c>
      <c r="G93" s="6" t="s">
        <v>179</v>
      </c>
      <c r="H93" s="7">
        <v>6400</v>
      </c>
      <c r="I93" s="5" t="s">
        <v>38</v>
      </c>
      <c r="J93" s="5"/>
      <c r="K93" s="22">
        <f t="shared" si="1"/>
        <v>0</v>
      </c>
    </row>
    <row r="94" spans="1:11" x14ac:dyDescent="0.45">
      <c r="A94" s="2" t="s">
        <v>183</v>
      </c>
      <c r="B94" s="2">
        <v>8</v>
      </c>
      <c r="C94" s="2" t="s">
        <v>60</v>
      </c>
      <c r="D94" s="2" t="s">
        <v>41</v>
      </c>
      <c r="E94" s="2" t="s">
        <v>13</v>
      </c>
      <c r="F94" s="2" t="s">
        <v>102</v>
      </c>
      <c r="G94" s="3" t="s">
        <v>140</v>
      </c>
      <c r="H94" s="4">
        <v>8500</v>
      </c>
      <c r="I94" s="2" t="s">
        <v>16</v>
      </c>
      <c r="J94" s="2"/>
      <c r="K94" s="22">
        <f t="shared" si="1"/>
        <v>0</v>
      </c>
    </row>
    <row r="95" spans="1:11" x14ac:dyDescent="0.45">
      <c r="A95" s="5" t="s">
        <v>184</v>
      </c>
      <c r="B95" s="5">
        <v>12</v>
      </c>
      <c r="C95" s="5" t="s">
        <v>34</v>
      </c>
      <c r="D95" s="5" t="s">
        <v>30</v>
      </c>
      <c r="E95" s="5" t="s">
        <v>57</v>
      </c>
      <c r="F95" s="5" t="s">
        <v>14</v>
      </c>
      <c r="G95" s="6" t="s">
        <v>48</v>
      </c>
      <c r="H95" s="7">
        <v>110100</v>
      </c>
      <c r="I95" s="5" t="s">
        <v>58</v>
      </c>
      <c r="J95" s="5"/>
      <c r="K95" s="22">
        <f t="shared" si="1"/>
        <v>0</v>
      </c>
    </row>
    <row r="96" spans="1:11" x14ac:dyDescent="0.45">
      <c r="A96" s="2" t="s">
        <v>185</v>
      </c>
      <c r="B96" s="2">
        <v>1</v>
      </c>
      <c r="C96" s="2" t="s">
        <v>66</v>
      </c>
      <c r="D96" s="2" t="s">
        <v>12</v>
      </c>
      <c r="E96" s="2" t="s">
        <v>57</v>
      </c>
      <c r="F96" s="2" t="s">
        <v>14</v>
      </c>
      <c r="G96" s="3" t="s">
        <v>15</v>
      </c>
      <c r="H96" s="4">
        <v>324500</v>
      </c>
      <c r="I96" s="2" t="s">
        <v>58</v>
      </c>
      <c r="J96" s="2"/>
      <c r="K96" s="22">
        <f t="shared" si="1"/>
        <v>0</v>
      </c>
    </row>
    <row r="97" spans="1:11" x14ac:dyDescent="0.45">
      <c r="A97" s="5" t="s">
        <v>186</v>
      </c>
      <c r="B97" s="5">
        <v>10</v>
      </c>
      <c r="C97" s="5" t="s">
        <v>40</v>
      </c>
      <c r="D97" s="5" t="s">
        <v>30</v>
      </c>
      <c r="E97" s="5" t="s">
        <v>35</v>
      </c>
      <c r="F97" s="5" t="s">
        <v>36</v>
      </c>
      <c r="G97" s="6" t="s">
        <v>126</v>
      </c>
      <c r="H97" s="7">
        <v>23600</v>
      </c>
      <c r="I97" s="5" t="s">
        <v>38</v>
      </c>
      <c r="J97" s="5"/>
      <c r="K97" s="22">
        <f t="shared" si="1"/>
        <v>0</v>
      </c>
    </row>
    <row r="98" spans="1:11" x14ac:dyDescent="0.45">
      <c r="A98" s="2" t="s">
        <v>187</v>
      </c>
      <c r="B98" s="2">
        <v>9</v>
      </c>
      <c r="C98" s="2" t="s">
        <v>40</v>
      </c>
      <c r="D98" s="2" t="s">
        <v>41</v>
      </c>
      <c r="E98" s="2" t="s">
        <v>71</v>
      </c>
      <c r="F98" s="2" t="s">
        <v>94</v>
      </c>
      <c r="G98" s="3" t="s">
        <v>157</v>
      </c>
      <c r="H98" s="4">
        <v>8900</v>
      </c>
      <c r="I98" s="2" t="s">
        <v>72</v>
      </c>
      <c r="J98" s="2"/>
      <c r="K98" s="22">
        <f t="shared" si="1"/>
        <v>0</v>
      </c>
    </row>
    <row r="99" spans="1:11" x14ac:dyDescent="0.45">
      <c r="A99" s="5" t="s">
        <v>188</v>
      </c>
      <c r="B99" s="5">
        <v>12</v>
      </c>
      <c r="C99" s="5" t="s">
        <v>34</v>
      </c>
      <c r="D99" s="5" t="s">
        <v>30</v>
      </c>
      <c r="E99" s="5" t="s">
        <v>57</v>
      </c>
      <c r="F99" s="5" t="s">
        <v>14</v>
      </c>
      <c r="G99" s="6" t="s">
        <v>15</v>
      </c>
      <c r="H99" s="7">
        <v>19000</v>
      </c>
      <c r="I99" s="5" t="s">
        <v>58</v>
      </c>
      <c r="J99" s="5"/>
      <c r="K99" s="22">
        <f t="shared" si="1"/>
        <v>0</v>
      </c>
    </row>
    <row r="100" spans="1:11" x14ac:dyDescent="0.45">
      <c r="A100" s="2" t="s">
        <v>189</v>
      </c>
      <c r="B100" s="2">
        <v>5</v>
      </c>
      <c r="C100" s="2" t="s">
        <v>22</v>
      </c>
      <c r="D100" s="2" t="s">
        <v>23</v>
      </c>
      <c r="E100" s="2" t="s">
        <v>35</v>
      </c>
      <c r="F100" s="2" t="s">
        <v>105</v>
      </c>
      <c r="G100" s="3" t="s">
        <v>133</v>
      </c>
      <c r="H100" s="4">
        <v>37900</v>
      </c>
      <c r="I100" s="2" t="s">
        <v>38</v>
      </c>
      <c r="J100" s="2"/>
      <c r="K100" s="22">
        <f t="shared" si="1"/>
        <v>0</v>
      </c>
    </row>
    <row r="101" spans="1:11" x14ac:dyDescent="0.45">
      <c r="A101" s="5" t="s">
        <v>190</v>
      </c>
      <c r="B101" s="5">
        <v>7</v>
      </c>
      <c r="C101" s="5" t="s">
        <v>56</v>
      </c>
      <c r="D101" s="5" t="s">
        <v>41</v>
      </c>
      <c r="E101" s="5" t="s">
        <v>57</v>
      </c>
      <c r="F101" s="5" t="s">
        <v>75</v>
      </c>
      <c r="G101" s="6" t="s">
        <v>83</v>
      </c>
      <c r="H101" s="7">
        <v>1500</v>
      </c>
      <c r="I101" s="5" t="s">
        <v>58</v>
      </c>
      <c r="J101" s="5"/>
      <c r="K101" s="22">
        <f t="shared" si="1"/>
        <v>0</v>
      </c>
    </row>
    <row r="102" spans="1:11" x14ac:dyDescent="0.45">
      <c r="A102" s="2" t="s">
        <v>191</v>
      </c>
      <c r="B102" s="2">
        <v>4</v>
      </c>
      <c r="C102" s="2" t="s">
        <v>47</v>
      </c>
      <c r="D102" s="2" t="s">
        <v>23</v>
      </c>
      <c r="E102" s="2" t="s">
        <v>19</v>
      </c>
      <c r="F102" s="2" t="s">
        <v>31</v>
      </c>
      <c r="G102" s="3" t="s">
        <v>81</v>
      </c>
      <c r="H102" s="4">
        <v>16500</v>
      </c>
      <c r="I102" s="2" t="s">
        <v>20</v>
      </c>
      <c r="J102" s="2"/>
      <c r="K102" s="22">
        <f t="shared" si="1"/>
        <v>0</v>
      </c>
    </row>
    <row r="103" spans="1:11" x14ac:dyDescent="0.45">
      <c r="A103" s="5" t="s">
        <v>192</v>
      </c>
      <c r="B103" s="5">
        <v>10</v>
      </c>
      <c r="C103" s="5" t="s">
        <v>40</v>
      </c>
      <c r="D103" s="5" t="s">
        <v>30</v>
      </c>
      <c r="E103" s="5" t="s">
        <v>24</v>
      </c>
      <c r="F103" s="5" t="s">
        <v>36</v>
      </c>
      <c r="G103" s="6" t="s">
        <v>126</v>
      </c>
      <c r="H103" s="7">
        <v>3400</v>
      </c>
      <c r="I103" s="5" t="s">
        <v>27</v>
      </c>
      <c r="J103" s="5"/>
      <c r="K103" s="22">
        <f t="shared" si="1"/>
        <v>0</v>
      </c>
    </row>
    <row r="104" spans="1:11" x14ac:dyDescent="0.45">
      <c r="A104" s="2" t="s">
        <v>193</v>
      </c>
      <c r="B104" s="2">
        <v>2</v>
      </c>
      <c r="C104" s="2" t="s">
        <v>11</v>
      </c>
      <c r="D104" s="2" t="s">
        <v>12</v>
      </c>
      <c r="E104" s="2" t="s">
        <v>57</v>
      </c>
      <c r="F104" s="2" t="s">
        <v>63</v>
      </c>
      <c r="G104" s="3" t="s">
        <v>97</v>
      </c>
      <c r="H104" s="4">
        <v>7600</v>
      </c>
      <c r="I104" s="2" t="s">
        <v>58</v>
      </c>
      <c r="J104" s="2"/>
      <c r="K104" s="22">
        <f t="shared" si="1"/>
        <v>0</v>
      </c>
    </row>
    <row r="105" spans="1:11" x14ac:dyDescent="0.45">
      <c r="A105" s="5" t="s">
        <v>194</v>
      </c>
      <c r="B105" s="5">
        <v>4</v>
      </c>
      <c r="C105" s="5" t="s">
        <v>47</v>
      </c>
      <c r="D105" s="5" t="s">
        <v>23</v>
      </c>
      <c r="E105" s="5" t="s">
        <v>71</v>
      </c>
      <c r="F105" s="5" t="s">
        <v>14</v>
      </c>
      <c r="G105" s="6" t="s">
        <v>15</v>
      </c>
      <c r="H105" s="7">
        <v>149300</v>
      </c>
      <c r="I105" s="5" t="s">
        <v>72</v>
      </c>
      <c r="J105" s="5"/>
      <c r="K105" s="22">
        <f t="shared" si="1"/>
        <v>0</v>
      </c>
    </row>
    <row r="106" spans="1:11" x14ac:dyDescent="0.45">
      <c r="A106" s="2" t="s">
        <v>195</v>
      </c>
      <c r="B106" s="2">
        <v>4</v>
      </c>
      <c r="C106" s="2" t="s">
        <v>47</v>
      </c>
      <c r="D106" s="2" t="s">
        <v>23</v>
      </c>
      <c r="E106" s="2" t="s">
        <v>57</v>
      </c>
      <c r="F106" s="2" t="s">
        <v>14</v>
      </c>
      <c r="G106" s="3" t="s">
        <v>42</v>
      </c>
      <c r="H106" s="4">
        <v>104800</v>
      </c>
      <c r="I106" s="2" t="s">
        <v>58</v>
      </c>
      <c r="J106" s="2"/>
      <c r="K106" s="22">
        <f t="shared" si="1"/>
        <v>0</v>
      </c>
    </row>
    <row r="107" spans="1:11" x14ac:dyDescent="0.45">
      <c r="A107" s="5" t="s">
        <v>196</v>
      </c>
      <c r="B107" s="5">
        <v>3</v>
      </c>
      <c r="C107" s="5" t="s">
        <v>18</v>
      </c>
      <c r="D107" s="5" t="s">
        <v>12</v>
      </c>
      <c r="E107" s="5" t="s">
        <v>35</v>
      </c>
      <c r="F107" s="5" t="s">
        <v>105</v>
      </c>
      <c r="G107" s="6" t="s">
        <v>106</v>
      </c>
      <c r="H107" s="7">
        <v>7700</v>
      </c>
      <c r="I107" s="5" t="s">
        <v>38</v>
      </c>
      <c r="J107" s="5" t="s">
        <v>108</v>
      </c>
      <c r="K107" s="22">
        <f t="shared" si="1"/>
        <v>1</v>
      </c>
    </row>
    <row r="108" spans="1:11" x14ac:dyDescent="0.45">
      <c r="A108" s="2" t="s">
        <v>197</v>
      </c>
      <c r="B108" s="2">
        <v>3</v>
      </c>
      <c r="C108" s="2" t="s">
        <v>18</v>
      </c>
      <c r="D108" s="2" t="s">
        <v>12</v>
      </c>
      <c r="E108" s="2" t="s">
        <v>24</v>
      </c>
      <c r="F108" s="2" t="s">
        <v>14</v>
      </c>
      <c r="G108" s="3" t="s">
        <v>48</v>
      </c>
      <c r="H108" s="4">
        <v>32400</v>
      </c>
      <c r="I108" s="2" t="s">
        <v>27</v>
      </c>
      <c r="J108" s="2"/>
      <c r="K108" s="22">
        <f t="shared" si="1"/>
        <v>0</v>
      </c>
    </row>
    <row r="109" spans="1:11" x14ac:dyDescent="0.45">
      <c r="A109" s="5" t="s">
        <v>198</v>
      </c>
      <c r="B109" s="5">
        <v>4</v>
      </c>
      <c r="C109" s="5" t="s">
        <v>47</v>
      </c>
      <c r="D109" s="5" t="s">
        <v>23</v>
      </c>
      <c r="E109" s="5" t="s">
        <v>19</v>
      </c>
      <c r="F109" s="5" t="s">
        <v>14</v>
      </c>
      <c r="G109" s="6" t="s">
        <v>42</v>
      </c>
      <c r="H109" s="7">
        <v>124600</v>
      </c>
      <c r="I109" s="5" t="s">
        <v>20</v>
      </c>
      <c r="J109" s="5"/>
      <c r="K109" s="22">
        <f t="shared" si="1"/>
        <v>0</v>
      </c>
    </row>
    <row r="110" spans="1:11" x14ac:dyDescent="0.45">
      <c r="A110" s="2" t="s">
        <v>199</v>
      </c>
      <c r="B110" s="2">
        <v>7</v>
      </c>
      <c r="C110" s="2" t="s">
        <v>56</v>
      </c>
      <c r="D110" s="2" t="s">
        <v>41</v>
      </c>
      <c r="E110" s="2" t="s">
        <v>13</v>
      </c>
      <c r="F110" s="2" t="s">
        <v>50</v>
      </c>
      <c r="G110" s="3" t="s">
        <v>144</v>
      </c>
      <c r="H110" s="4">
        <v>45700</v>
      </c>
      <c r="I110" s="2" t="s">
        <v>16</v>
      </c>
      <c r="J110" s="2"/>
      <c r="K110" s="22">
        <f t="shared" si="1"/>
        <v>0</v>
      </c>
    </row>
    <row r="111" spans="1:11" x14ac:dyDescent="0.45">
      <c r="A111" s="5" t="s">
        <v>200</v>
      </c>
      <c r="B111" s="5">
        <v>9</v>
      </c>
      <c r="C111" s="5" t="s">
        <v>40</v>
      </c>
      <c r="D111" s="5" t="s">
        <v>41</v>
      </c>
      <c r="E111" s="5" t="s">
        <v>19</v>
      </c>
      <c r="F111" s="5" t="s">
        <v>14</v>
      </c>
      <c r="G111" s="6" t="s">
        <v>42</v>
      </c>
      <c r="H111" s="7">
        <v>29200</v>
      </c>
      <c r="I111" s="5" t="s">
        <v>20</v>
      </c>
      <c r="J111" s="5"/>
      <c r="K111" s="22">
        <f t="shared" si="1"/>
        <v>0</v>
      </c>
    </row>
    <row r="112" spans="1:11" x14ac:dyDescent="0.45">
      <c r="A112" s="2" t="s">
        <v>201</v>
      </c>
      <c r="B112" s="2">
        <v>7</v>
      </c>
      <c r="C112" s="2" t="s">
        <v>56</v>
      </c>
      <c r="D112" s="2" t="s">
        <v>41</v>
      </c>
      <c r="E112" s="2" t="s">
        <v>19</v>
      </c>
      <c r="F112" s="2" t="s">
        <v>14</v>
      </c>
      <c r="G112" s="3" t="s">
        <v>42</v>
      </c>
      <c r="H112" s="4">
        <v>275000</v>
      </c>
      <c r="I112" s="2" t="s">
        <v>20</v>
      </c>
      <c r="J112" s="2"/>
      <c r="K112" s="22">
        <f t="shared" si="1"/>
        <v>0</v>
      </c>
    </row>
    <row r="113" spans="1:11" x14ac:dyDescent="0.45">
      <c r="A113" s="5" t="s">
        <v>202</v>
      </c>
      <c r="B113" s="5">
        <v>12</v>
      </c>
      <c r="C113" s="5" t="s">
        <v>34</v>
      </c>
      <c r="D113" s="5" t="s">
        <v>30</v>
      </c>
      <c r="E113" s="5" t="s">
        <v>24</v>
      </c>
      <c r="F113" s="5" t="s">
        <v>36</v>
      </c>
      <c r="G113" s="6" t="s">
        <v>126</v>
      </c>
      <c r="H113" s="7">
        <v>1600</v>
      </c>
      <c r="I113" s="5" t="s">
        <v>27</v>
      </c>
      <c r="J113" s="5"/>
      <c r="K113" s="22">
        <f t="shared" si="1"/>
        <v>0</v>
      </c>
    </row>
    <row r="114" spans="1:11" x14ac:dyDescent="0.45">
      <c r="A114" s="2" t="s">
        <v>203</v>
      </c>
      <c r="B114" s="2">
        <v>9</v>
      </c>
      <c r="C114" s="2" t="s">
        <v>40</v>
      </c>
      <c r="D114" s="2" t="s">
        <v>41</v>
      </c>
      <c r="E114" s="2" t="s">
        <v>71</v>
      </c>
      <c r="F114" s="2" t="s">
        <v>88</v>
      </c>
      <c r="G114" s="3" t="s">
        <v>176</v>
      </c>
      <c r="H114" s="4">
        <v>99700</v>
      </c>
      <c r="I114" s="2" t="s">
        <v>72</v>
      </c>
      <c r="J114" s="2" t="s">
        <v>108</v>
      </c>
      <c r="K114" s="22">
        <f t="shared" si="1"/>
        <v>1</v>
      </c>
    </row>
    <row r="115" spans="1:11" x14ac:dyDescent="0.45">
      <c r="A115" s="5" t="s">
        <v>204</v>
      </c>
      <c r="B115" s="5">
        <v>9</v>
      </c>
      <c r="C115" s="5" t="s">
        <v>40</v>
      </c>
      <c r="D115" s="5" t="s">
        <v>41</v>
      </c>
      <c r="E115" s="5" t="s">
        <v>35</v>
      </c>
      <c r="F115" s="5" t="s">
        <v>36</v>
      </c>
      <c r="G115" s="6" t="s">
        <v>37</v>
      </c>
      <c r="H115" s="7">
        <v>5100</v>
      </c>
      <c r="I115" s="5" t="s">
        <v>38</v>
      </c>
      <c r="J115" s="5"/>
      <c r="K115" s="22">
        <f t="shared" si="1"/>
        <v>0</v>
      </c>
    </row>
    <row r="116" spans="1:11" x14ac:dyDescent="0.45">
      <c r="A116" s="2" t="s">
        <v>205</v>
      </c>
      <c r="B116" s="2">
        <v>7</v>
      </c>
      <c r="C116" s="2" t="s">
        <v>56</v>
      </c>
      <c r="D116" s="2" t="s">
        <v>41</v>
      </c>
      <c r="E116" s="2" t="s">
        <v>57</v>
      </c>
      <c r="F116" s="2" t="s">
        <v>63</v>
      </c>
      <c r="G116" s="3" t="s">
        <v>69</v>
      </c>
      <c r="H116" s="4">
        <v>3300</v>
      </c>
      <c r="I116" s="2" t="s">
        <v>58</v>
      </c>
      <c r="J116" s="2"/>
      <c r="K116" s="22">
        <f t="shared" si="1"/>
        <v>0</v>
      </c>
    </row>
    <row r="117" spans="1:11" x14ac:dyDescent="0.45">
      <c r="A117" s="5" t="s">
        <v>206</v>
      </c>
      <c r="B117" s="5">
        <v>12</v>
      </c>
      <c r="C117" s="5" t="s">
        <v>34</v>
      </c>
      <c r="D117" s="5" t="s">
        <v>30</v>
      </c>
      <c r="E117" s="5" t="s">
        <v>19</v>
      </c>
      <c r="F117" s="5" t="s">
        <v>63</v>
      </c>
      <c r="G117" s="6" t="s">
        <v>69</v>
      </c>
      <c r="H117" s="7">
        <v>5700</v>
      </c>
      <c r="I117" s="5" t="s">
        <v>20</v>
      </c>
      <c r="J117" s="5"/>
      <c r="K117" s="22">
        <f t="shared" si="1"/>
        <v>0</v>
      </c>
    </row>
    <row r="118" spans="1:11" x14ac:dyDescent="0.45">
      <c r="A118" s="2" t="s">
        <v>207</v>
      </c>
      <c r="B118" s="2">
        <v>8</v>
      </c>
      <c r="C118" s="2" t="s">
        <v>60</v>
      </c>
      <c r="D118" s="2" t="s">
        <v>41</v>
      </c>
      <c r="E118" s="2" t="s">
        <v>57</v>
      </c>
      <c r="F118" s="2" t="s">
        <v>85</v>
      </c>
      <c r="G118" s="3" t="s">
        <v>86</v>
      </c>
      <c r="H118" s="4">
        <v>17600</v>
      </c>
      <c r="I118" s="2" t="s">
        <v>58</v>
      </c>
      <c r="J118" s="2"/>
      <c r="K118" s="22">
        <f t="shared" si="1"/>
        <v>0</v>
      </c>
    </row>
    <row r="119" spans="1:11" x14ac:dyDescent="0.45">
      <c r="A119" s="5" t="s">
        <v>208</v>
      </c>
      <c r="B119" s="5">
        <v>12</v>
      </c>
      <c r="C119" s="5" t="s">
        <v>34</v>
      </c>
      <c r="D119" s="5" t="s">
        <v>30</v>
      </c>
      <c r="E119" s="5" t="s">
        <v>35</v>
      </c>
      <c r="F119" s="5" t="s">
        <v>105</v>
      </c>
      <c r="G119" s="6" t="s">
        <v>106</v>
      </c>
      <c r="H119" s="7">
        <v>44600</v>
      </c>
      <c r="I119" s="5" t="s">
        <v>38</v>
      </c>
      <c r="J119" s="5" t="s">
        <v>108</v>
      </c>
      <c r="K119" s="22">
        <f t="shared" si="1"/>
        <v>1</v>
      </c>
    </row>
    <row r="120" spans="1:11" x14ac:dyDescent="0.45">
      <c r="A120" s="2" t="s">
        <v>209</v>
      </c>
      <c r="B120" s="2">
        <v>8</v>
      </c>
      <c r="C120" s="2" t="s">
        <v>60</v>
      </c>
      <c r="D120" s="2" t="s">
        <v>41</v>
      </c>
      <c r="E120" s="2" t="s">
        <v>35</v>
      </c>
      <c r="F120" s="2" t="s">
        <v>105</v>
      </c>
      <c r="G120" s="3" t="s">
        <v>133</v>
      </c>
      <c r="H120" s="4">
        <v>100</v>
      </c>
      <c r="I120" s="2" t="s">
        <v>38</v>
      </c>
      <c r="J120" s="2"/>
      <c r="K120" s="22">
        <f t="shared" si="1"/>
        <v>0</v>
      </c>
    </row>
    <row r="121" spans="1:11" x14ac:dyDescent="0.45">
      <c r="A121" s="5" t="s">
        <v>210</v>
      </c>
      <c r="B121" s="5">
        <v>4</v>
      </c>
      <c r="C121" s="5" t="s">
        <v>47</v>
      </c>
      <c r="D121" s="5" t="s">
        <v>23</v>
      </c>
      <c r="E121" s="5" t="s">
        <v>71</v>
      </c>
      <c r="F121" s="5" t="s">
        <v>94</v>
      </c>
      <c r="G121" s="6" t="s">
        <v>138</v>
      </c>
      <c r="H121" s="7">
        <v>8400</v>
      </c>
      <c r="I121" s="5" t="s">
        <v>72</v>
      </c>
      <c r="J121" s="5"/>
      <c r="K121" s="22">
        <f t="shared" si="1"/>
        <v>0</v>
      </c>
    </row>
    <row r="122" spans="1:11" x14ac:dyDescent="0.45">
      <c r="A122" s="2" t="s">
        <v>211</v>
      </c>
      <c r="B122" s="2">
        <v>10</v>
      </c>
      <c r="C122" s="2" t="s">
        <v>40</v>
      </c>
      <c r="D122" s="2" t="s">
        <v>30</v>
      </c>
      <c r="E122" s="2" t="s">
        <v>24</v>
      </c>
      <c r="F122" s="2" t="s">
        <v>25</v>
      </c>
      <c r="G122" s="3" t="s">
        <v>212</v>
      </c>
      <c r="H122" s="4">
        <v>34500</v>
      </c>
      <c r="I122" s="2" t="s">
        <v>27</v>
      </c>
      <c r="J122" s="2" t="s">
        <v>108</v>
      </c>
      <c r="K122" s="22">
        <f t="shared" si="1"/>
        <v>1</v>
      </c>
    </row>
    <row r="123" spans="1:11" x14ac:dyDescent="0.45">
      <c r="A123" s="5" t="s">
        <v>213</v>
      </c>
      <c r="B123" s="5">
        <v>11</v>
      </c>
      <c r="C123" s="5" t="s">
        <v>29</v>
      </c>
      <c r="D123" s="5" t="s">
        <v>30</v>
      </c>
      <c r="E123" s="5" t="s">
        <v>24</v>
      </c>
      <c r="F123" s="5" t="s">
        <v>44</v>
      </c>
      <c r="G123" s="6" t="s">
        <v>45</v>
      </c>
      <c r="H123" s="7">
        <v>4900</v>
      </c>
      <c r="I123" s="5" t="s">
        <v>27</v>
      </c>
      <c r="J123" s="5"/>
      <c r="K123" s="22">
        <f t="shared" si="1"/>
        <v>0</v>
      </c>
    </row>
    <row r="124" spans="1:11" x14ac:dyDescent="0.45">
      <c r="A124" s="2" t="s">
        <v>214</v>
      </c>
      <c r="B124" s="2">
        <v>11</v>
      </c>
      <c r="C124" s="2" t="s">
        <v>29</v>
      </c>
      <c r="D124" s="2" t="s">
        <v>30</v>
      </c>
      <c r="E124" s="2" t="s">
        <v>19</v>
      </c>
      <c r="F124" s="2" t="s">
        <v>31</v>
      </c>
      <c r="G124" s="3" t="s">
        <v>79</v>
      </c>
      <c r="H124" s="4">
        <v>3100</v>
      </c>
      <c r="I124" s="2" t="s">
        <v>20</v>
      </c>
      <c r="J124" s="2"/>
      <c r="K124" s="22">
        <f t="shared" si="1"/>
        <v>0</v>
      </c>
    </row>
    <row r="125" spans="1:11" x14ac:dyDescent="0.45">
      <c r="A125" s="5" t="s">
        <v>215</v>
      </c>
      <c r="B125" s="5">
        <v>1</v>
      </c>
      <c r="C125" s="5" t="s">
        <v>66</v>
      </c>
      <c r="D125" s="5" t="s">
        <v>12</v>
      </c>
      <c r="E125" s="5" t="s">
        <v>35</v>
      </c>
      <c r="F125" s="5" t="s">
        <v>105</v>
      </c>
      <c r="G125" s="6" t="s">
        <v>150</v>
      </c>
      <c r="H125" s="7">
        <v>15700</v>
      </c>
      <c r="I125" s="5" t="s">
        <v>38</v>
      </c>
      <c r="J125" s="5"/>
      <c r="K125" s="22">
        <f t="shared" si="1"/>
        <v>0</v>
      </c>
    </row>
    <row r="126" spans="1:11" x14ac:dyDescent="0.45">
      <c r="A126" s="2" t="s">
        <v>216</v>
      </c>
      <c r="B126" s="2">
        <v>9</v>
      </c>
      <c r="C126" s="2" t="s">
        <v>40</v>
      </c>
      <c r="D126" s="2" t="s">
        <v>41</v>
      </c>
      <c r="E126" s="2" t="s">
        <v>24</v>
      </c>
      <c r="F126" s="2" t="s">
        <v>25</v>
      </c>
      <c r="G126" s="3" t="s">
        <v>100</v>
      </c>
      <c r="H126" s="4">
        <v>24900</v>
      </c>
      <c r="I126" s="2" t="s">
        <v>27</v>
      </c>
      <c r="J126" s="2"/>
      <c r="K126" s="22">
        <f t="shared" si="1"/>
        <v>0</v>
      </c>
    </row>
    <row r="127" spans="1:11" x14ac:dyDescent="0.45">
      <c r="A127" s="5" t="s">
        <v>217</v>
      </c>
      <c r="B127" s="5">
        <v>11</v>
      </c>
      <c r="C127" s="5" t="s">
        <v>29</v>
      </c>
      <c r="D127" s="5" t="s">
        <v>30</v>
      </c>
      <c r="E127" s="5" t="s">
        <v>71</v>
      </c>
      <c r="F127" s="5" t="s">
        <v>94</v>
      </c>
      <c r="G127" s="6" t="s">
        <v>95</v>
      </c>
      <c r="H127" s="7">
        <v>25900</v>
      </c>
      <c r="I127" s="5" t="s">
        <v>72</v>
      </c>
      <c r="J127" s="5"/>
      <c r="K127" s="22">
        <f t="shared" si="1"/>
        <v>0</v>
      </c>
    </row>
    <row r="128" spans="1:11" x14ac:dyDescent="0.45">
      <c r="A128" s="2" t="s">
        <v>218</v>
      </c>
      <c r="B128" s="2">
        <v>5</v>
      </c>
      <c r="C128" s="2" t="s">
        <v>22</v>
      </c>
      <c r="D128" s="2" t="s">
        <v>23</v>
      </c>
      <c r="E128" s="2" t="s">
        <v>57</v>
      </c>
      <c r="F128" s="2" t="s">
        <v>14</v>
      </c>
      <c r="G128" s="3" t="s">
        <v>42</v>
      </c>
      <c r="H128" s="4">
        <v>162000</v>
      </c>
      <c r="I128" s="2" t="s">
        <v>58</v>
      </c>
      <c r="J128" s="2"/>
      <c r="K128" s="22">
        <f t="shared" si="1"/>
        <v>0</v>
      </c>
    </row>
    <row r="129" spans="1:11" x14ac:dyDescent="0.45">
      <c r="A129" s="5" t="s">
        <v>219</v>
      </c>
      <c r="B129" s="5">
        <v>3</v>
      </c>
      <c r="C129" s="5" t="s">
        <v>18</v>
      </c>
      <c r="D129" s="5" t="s">
        <v>12</v>
      </c>
      <c r="E129" s="5" t="s">
        <v>24</v>
      </c>
      <c r="F129" s="5" t="s">
        <v>14</v>
      </c>
      <c r="G129" s="6" t="s">
        <v>42</v>
      </c>
      <c r="H129" s="7">
        <v>158900</v>
      </c>
      <c r="I129" s="5" t="s">
        <v>27</v>
      </c>
      <c r="J129" s="5"/>
      <c r="K129" s="22">
        <f t="shared" si="1"/>
        <v>0</v>
      </c>
    </row>
    <row r="130" spans="1:11" x14ac:dyDescent="0.45">
      <c r="A130" s="2" t="s">
        <v>220</v>
      </c>
      <c r="B130" s="2">
        <v>8</v>
      </c>
      <c r="C130" s="2" t="s">
        <v>60</v>
      </c>
      <c r="D130" s="2" t="s">
        <v>41</v>
      </c>
      <c r="E130" s="2" t="s">
        <v>57</v>
      </c>
      <c r="F130" s="2" t="s">
        <v>14</v>
      </c>
      <c r="G130" s="3" t="s">
        <v>15</v>
      </c>
      <c r="H130" s="4">
        <v>169100</v>
      </c>
      <c r="I130" s="2" t="s">
        <v>58</v>
      </c>
      <c r="J130" s="2"/>
      <c r="K130" s="22">
        <f t="shared" si="1"/>
        <v>0</v>
      </c>
    </row>
    <row r="131" spans="1:11" x14ac:dyDescent="0.45">
      <c r="A131" s="5" t="s">
        <v>221</v>
      </c>
      <c r="B131" s="5">
        <v>5</v>
      </c>
      <c r="C131" s="5" t="s">
        <v>22</v>
      </c>
      <c r="D131" s="5" t="s">
        <v>23</v>
      </c>
      <c r="E131" s="5" t="s">
        <v>71</v>
      </c>
      <c r="F131" s="5" t="s">
        <v>94</v>
      </c>
      <c r="G131" s="6" t="s">
        <v>138</v>
      </c>
      <c r="H131" s="7">
        <v>23900</v>
      </c>
      <c r="I131" s="5" t="s">
        <v>72</v>
      </c>
      <c r="J131" s="5"/>
      <c r="K131" s="22">
        <f t="shared" ref="K131:K194" si="2">IF(J131=$N$2,0,IF(J131=$N$3,1,IF(J131=$N$4,2)))</f>
        <v>0</v>
      </c>
    </row>
    <row r="132" spans="1:11" x14ac:dyDescent="0.45">
      <c r="A132" s="2" t="s">
        <v>222</v>
      </c>
      <c r="B132" s="2">
        <v>11</v>
      </c>
      <c r="C132" s="2" t="s">
        <v>29</v>
      </c>
      <c r="D132" s="2" t="s">
        <v>30</v>
      </c>
      <c r="E132" s="2" t="s">
        <v>57</v>
      </c>
      <c r="F132" s="2" t="s">
        <v>63</v>
      </c>
      <c r="G132" s="3" t="s">
        <v>97</v>
      </c>
      <c r="H132" s="4">
        <v>6500</v>
      </c>
      <c r="I132" s="2" t="s">
        <v>58</v>
      </c>
      <c r="J132" s="2"/>
      <c r="K132" s="22">
        <f t="shared" si="2"/>
        <v>0</v>
      </c>
    </row>
    <row r="133" spans="1:11" x14ac:dyDescent="0.45">
      <c r="A133" s="5" t="s">
        <v>223</v>
      </c>
      <c r="B133" s="5">
        <v>11</v>
      </c>
      <c r="C133" s="5" t="s">
        <v>29</v>
      </c>
      <c r="D133" s="5" t="s">
        <v>30</v>
      </c>
      <c r="E133" s="5" t="s">
        <v>57</v>
      </c>
      <c r="F133" s="5" t="s">
        <v>14</v>
      </c>
      <c r="G133" s="6" t="s">
        <v>15</v>
      </c>
      <c r="H133" s="7">
        <v>267300</v>
      </c>
      <c r="I133" s="5" t="s">
        <v>58</v>
      </c>
      <c r="J133" s="5"/>
      <c r="K133" s="22">
        <f t="shared" si="2"/>
        <v>0</v>
      </c>
    </row>
    <row r="134" spans="1:11" x14ac:dyDescent="0.45">
      <c r="A134" s="2" t="s">
        <v>224</v>
      </c>
      <c r="B134" s="2">
        <v>8</v>
      </c>
      <c r="C134" s="2" t="s">
        <v>60</v>
      </c>
      <c r="D134" s="2" t="s">
        <v>41</v>
      </c>
      <c r="E134" s="2" t="s">
        <v>24</v>
      </c>
      <c r="F134" s="2" t="s">
        <v>44</v>
      </c>
      <c r="G134" s="3" t="s">
        <v>123</v>
      </c>
      <c r="H134" s="4">
        <v>101400</v>
      </c>
      <c r="I134" s="2" t="s">
        <v>27</v>
      </c>
      <c r="J134" s="2"/>
      <c r="K134" s="22">
        <f t="shared" si="2"/>
        <v>0</v>
      </c>
    </row>
    <row r="135" spans="1:11" x14ac:dyDescent="0.45">
      <c r="A135" s="5" t="s">
        <v>225</v>
      </c>
      <c r="B135" s="5">
        <v>6</v>
      </c>
      <c r="C135" s="5" t="s">
        <v>78</v>
      </c>
      <c r="D135" s="5" t="s">
        <v>23</v>
      </c>
      <c r="E135" s="5" t="s">
        <v>19</v>
      </c>
      <c r="F135" s="5" t="s">
        <v>14</v>
      </c>
      <c r="G135" s="6" t="s">
        <v>48</v>
      </c>
      <c r="H135" s="7">
        <v>125000</v>
      </c>
      <c r="I135" s="5" t="s">
        <v>20</v>
      </c>
      <c r="J135" s="5"/>
      <c r="K135" s="22">
        <f t="shared" si="2"/>
        <v>0</v>
      </c>
    </row>
    <row r="136" spans="1:11" x14ac:dyDescent="0.45">
      <c r="A136" s="2" t="s">
        <v>226</v>
      </c>
      <c r="B136" s="2">
        <v>2</v>
      </c>
      <c r="C136" s="2" t="s">
        <v>11</v>
      </c>
      <c r="D136" s="2" t="s">
        <v>12</v>
      </c>
      <c r="E136" s="2" t="s">
        <v>13</v>
      </c>
      <c r="F136" s="2" t="s">
        <v>50</v>
      </c>
      <c r="G136" s="3" t="s">
        <v>144</v>
      </c>
      <c r="H136" s="4">
        <v>7000</v>
      </c>
      <c r="I136" s="2" t="s">
        <v>16</v>
      </c>
      <c r="J136" s="2"/>
      <c r="K136" s="22">
        <f t="shared" si="2"/>
        <v>0</v>
      </c>
    </row>
    <row r="137" spans="1:11" x14ac:dyDescent="0.45">
      <c r="A137" s="5" t="s">
        <v>227</v>
      </c>
      <c r="B137" s="5">
        <v>9</v>
      </c>
      <c r="C137" s="5" t="s">
        <v>40</v>
      </c>
      <c r="D137" s="5" t="s">
        <v>41</v>
      </c>
      <c r="E137" s="5" t="s">
        <v>24</v>
      </c>
      <c r="F137" s="5" t="s">
        <v>25</v>
      </c>
      <c r="G137" s="6" t="s">
        <v>100</v>
      </c>
      <c r="H137" s="7">
        <v>13500</v>
      </c>
      <c r="I137" s="5" t="s">
        <v>27</v>
      </c>
      <c r="J137" s="5"/>
      <c r="K137" s="22">
        <f t="shared" si="2"/>
        <v>0</v>
      </c>
    </row>
    <row r="138" spans="1:11" x14ac:dyDescent="0.45">
      <c r="A138" s="2" t="s">
        <v>228</v>
      </c>
      <c r="B138" s="2">
        <v>8</v>
      </c>
      <c r="C138" s="2" t="s">
        <v>60</v>
      </c>
      <c r="D138" s="2" t="s">
        <v>41</v>
      </c>
      <c r="E138" s="2" t="s">
        <v>13</v>
      </c>
      <c r="F138" s="2" t="s">
        <v>14</v>
      </c>
      <c r="G138" s="3" t="s">
        <v>42</v>
      </c>
      <c r="H138" s="4">
        <v>45300</v>
      </c>
      <c r="I138" s="2" t="s">
        <v>16</v>
      </c>
      <c r="J138" s="2"/>
      <c r="K138" s="22">
        <f t="shared" si="2"/>
        <v>0</v>
      </c>
    </row>
    <row r="139" spans="1:11" x14ac:dyDescent="0.45">
      <c r="A139" s="5" t="s">
        <v>229</v>
      </c>
      <c r="B139" s="5">
        <v>12</v>
      </c>
      <c r="C139" s="5" t="s">
        <v>34</v>
      </c>
      <c r="D139" s="5" t="s">
        <v>30</v>
      </c>
      <c r="E139" s="5" t="s">
        <v>24</v>
      </c>
      <c r="F139" s="5" t="s">
        <v>36</v>
      </c>
      <c r="G139" s="6" t="s">
        <v>126</v>
      </c>
      <c r="H139" s="7">
        <v>42700</v>
      </c>
      <c r="I139" s="5" t="s">
        <v>27</v>
      </c>
      <c r="J139" s="5"/>
      <c r="K139" s="22">
        <f t="shared" si="2"/>
        <v>0</v>
      </c>
    </row>
    <row r="140" spans="1:11" x14ac:dyDescent="0.45">
      <c r="A140" s="2" t="s">
        <v>230</v>
      </c>
      <c r="B140" s="2">
        <v>1</v>
      </c>
      <c r="C140" s="2" t="s">
        <v>66</v>
      </c>
      <c r="D140" s="2" t="s">
        <v>12</v>
      </c>
      <c r="E140" s="2" t="s">
        <v>24</v>
      </c>
      <c r="F140" s="2" t="s">
        <v>36</v>
      </c>
      <c r="G140" s="3" t="s">
        <v>111</v>
      </c>
      <c r="H140" s="4">
        <v>16200</v>
      </c>
      <c r="I140" s="2" t="s">
        <v>27</v>
      </c>
      <c r="J140" s="2"/>
      <c r="K140" s="22">
        <f t="shared" si="2"/>
        <v>0</v>
      </c>
    </row>
    <row r="141" spans="1:11" x14ac:dyDescent="0.45">
      <c r="A141" s="5" t="s">
        <v>231</v>
      </c>
      <c r="B141" s="5">
        <v>1</v>
      </c>
      <c r="C141" s="5" t="s">
        <v>66</v>
      </c>
      <c r="D141" s="5" t="s">
        <v>12</v>
      </c>
      <c r="E141" s="5" t="s">
        <v>13</v>
      </c>
      <c r="F141" s="5" t="s">
        <v>102</v>
      </c>
      <c r="G141" s="6" t="s">
        <v>103</v>
      </c>
      <c r="H141" s="7">
        <v>6300</v>
      </c>
      <c r="I141" s="5" t="s">
        <v>16</v>
      </c>
      <c r="J141" s="5"/>
      <c r="K141" s="22">
        <f t="shared" si="2"/>
        <v>0</v>
      </c>
    </row>
    <row r="142" spans="1:11" x14ac:dyDescent="0.45">
      <c r="A142" s="2" t="s">
        <v>232</v>
      </c>
      <c r="B142" s="2">
        <v>9</v>
      </c>
      <c r="C142" s="2" t="s">
        <v>40</v>
      </c>
      <c r="D142" s="2" t="s">
        <v>41</v>
      </c>
      <c r="E142" s="2" t="s">
        <v>57</v>
      </c>
      <c r="F142" s="2" t="s">
        <v>85</v>
      </c>
      <c r="G142" s="3" t="s">
        <v>159</v>
      </c>
      <c r="H142" s="4">
        <v>18700</v>
      </c>
      <c r="I142" s="2" t="s">
        <v>58</v>
      </c>
      <c r="J142" s="2"/>
      <c r="K142" s="22">
        <f t="shared" si="2"/>
        <v>0</v>
      </c>
    </row>
    <row r="143" spans="1:11" x14ac:dyDescent="0.45">
      <c r="A143" s="5" t="s">
        <v>233</v>
      </c>
      <c r="B143" s="5">
        <v>8</v>
      </c>
      <c r="C143" s="5" t="s">
        <v>60</v>
      </c>
      <c r="D143" s="5" t="s">
        <v>41</v>
      </c>
      <c r="E143" s="5" t="s">
        <v>35</v>
      </c>
      <c r="F143" s="5" t="s">
        <v>14</v>
      </c>
      <c r="G143" s="6" t="s">
        <v>42</v>
      </c>
      <c r="H143" s="7">
        <v>12600</v>
      </c>
      <c r="I143" s="5" t="s">
        <v>38</v>
      </c>
      <c r="J143" s="5"/>
      <c r="K143" s="22">
        <f t="shared" si="2"/>
        <v>0</v>
      </c>
    </row>
    <row r="144" spans="1:11" x14ac:dyDescent="0.45">
      <c r="A144" s="2" t="s">
        <v>234</v>
      </c>
      <c r="B144" s="2">
        <v>12</v>
      </c>
      <c r="C144" s="2" t="s">
        <v>34</v>
      </c>
      <c r="D144" s="2" t="s">
        <v>30</v>
      </c>
      <c r="E144" s="2" t="s">
        <v>13</v>
      </c>
      <c r="F144" s="2" t="s">
        <v>63</v>
      </c>
      <c r="G144" s="3" t="s">
        <v>69</v>
      </c>
      <c r="H144" s="4">
        <v>2900</v>
      </c>
      <c r="I144" s="2" t="s">
        <v>16</v>
      </c>
      <c r="J144" s="2"/>
      <c r="K144" s="22">
        <f t="shared" si="2"/>
        <v>0</v>
      </c>
    </row>
    <row r="145" spans="1:11" x14ac:dyDescent="0.45">
      <c r="A145" s="5" t="s">
        <v>235</v>
      </c>
      <c r="B145" s="5">
        <v>7</v>
      </c>
      <c r="C145" s="5" t="s">
        <v>56</v>
      </c>
      <c r="D145" s="5" t="s">
        <v>41</v>
      </c>
      <c r="E145" s="5" t="s">
        <v>71</v>
      </c>
      <c r="F145" s="5" t="s">
        <v>63</v>
      </c>
      <c r="G145" s="6" t="s">
        <v>97</v>
      </c>
      <c r="H145" s="7">
        <v>44400</v>
      </c>
      <c r="I145" s="5" t="s">
        <v>72</v>
      </c>
      <c r="J145" s="5" t="s">
        <v>108</v>
      </c>
      <c r="K145" s="22">
        <f t="shared" si="2"/>
        <v>1</v>
      </c>
    </row>
    <row r="146" spans="1:11" x14ac:dyDescent="0.45">
      <c r="A146" s="2" t="s">
        <v>236</v>
      </c>
      <c r="B146" s="2">
        <v>2</v>
      </c>
      <c r="C146" s="2" t="s">
        <v>11</v>
      </c>
      <c r="D146" s="2" t="s">
        <v>12</v>
      </c>
      <c r="E146" s="2" t="s">
        <v>24</v>
      </c>
      <c r="F146" s="2" t="s">
        <v>36</v>
      </c>
      <c r="G146" s="3" t="s">
        <v>111</v>
      </c>
      <c r="H146" s="4">
        <v>52600</v>
      </c>
      <c r="I146" s="2" t="s">
        <v>27</v>
      </c>
      <c r="J146" s="2"/>
      <c r="K146" s="22">
        <f t="shared" si="2"/>
        <v>0</v>
      </c>
    </row>
    <row r="147" spans="1:11" x14ac:dyDescent="0.45">
      <c r="A147" s="5" t="s">
        <v>237</v>
      </c>
      <c r="B147" s="5">
        <v>6</v>
      </c>
      <c r="C147" s="5" t="s">
        <v>78</v>
      </c>
      <c r="D147" s="5" t="s">
        <v>23</v>
      </c>
      <c r="E147" s="5" t="s">
        <v>13</v>
      </c>
      <c r="F147" s="5" t="s">
        <v>14</v>
      </c>
      <c r="G147" s="6" t="s">
        <v>48</v>
      </c>
      <c r="H147" s="7">
        <v>184800</v>
      </c>
      <c r="I147" s="5" t="s">
        <v>16</v>
      </c>
      <c r="J147" s="5"/>
      <c r="K147" s="22">
        <f t="shared" si="2"/>
        <v>0</v>
      </c>
    </row>
    <row r="148" spans="1:11" x14ac:dyDescent="0.45">
      <c r="A148" s="2" t="s">
        <v>238</v>
      </c>
      <c r="B148" s="2">
        <v>2</v>
      </c>
      <c r="C148" s="2" t="s">
        <v>11</v>
      </c>
      <c r="D148" s="2" t="s">
        <v>12</v>
      </c>
      <c r="E148" s="2" t="s">
        <v>71</v>
      </c>
      <c r="F148" s="2" t="s">
        <v>63</v>
      </c>
      <c r="G148" s="3" t="s">
        <v>69</v>
      </c>
      <c r="H148" s="4">
        <v>5000</v>
      </c>
      <c r="I148" s="2" t="s">
        <v>72</v>
      </c>
      <c r="J148" s="2"/>
      <c r="K148" s="22">
        <f t="shared" si="2"/>
        <v>0</v>
      </c>
    </row>
    <row r="149" spans="1:11" x14ac:dyDescent="0.45">
      <c r="A149" s="5" t="s">
        <v>239</v>
      </c>
      <c r="B149" s="5">
        <v>12</v>
      </c>
      <c r="C149" s="5" t="s">
        <v>34</v>
      </c>
      <c r="D149" s="5" t="s">
        <v>30</v>
      </c>
      <c r="E149" s="5" t="s">
        <v>13</v>
      </c>
      <c r="F149" s="5" t="s">
        <v>102</v>
      </c>
      <c r="G149" s="6" t="s">
        <v>103</v>
      </c>
      <c r="H149" s="7">
        <v>39200</v>
      </c>
      <c r="I149" s="5" t="s">
        <v>16</v>
      </c>
      <c r="J149" s="5"/>
      <c r="K149" s="22">
        <f t="shared" si="2"/>
        <v>0</v>
      </c>
    </row>
    <row r="150" spans="1:11" x14ac:dyDescent="0.45">
      <c r="A150" s="2" t="s">
        <v>240</v>
      </c>
      <c r="B150" s="2">
        <v>6</v>
      </c>
      <c r="C150" s="2" t="s">
        <v>78</v>
      </c>
      <c r="D150" s="2" t="s">
        <v>23</v>
      </c>
      <c r="E150" s="2" t="s">
        <v>35</v>
      </c>
      <c r="F150" s="2" t="s">
        <v>105</v>
      </c>
      <c r="G150" s="3" t="s">
        <v>133</v>
      </c>
      <c r="H150" s="4">
        <v>7400</v>
      </c>
      <c r="I150" s="2" t="s">
        <v>38</v>
      </c>
      <c r="J150" s="2"/>
      <c r="K150" s="22">
        <f t="shared" si="2"/>
        <v>0</v>
      </c>
    </row>
    <row r="151" spans="1:11" x14ac:dyDescent="0.45">
      <c r="A151" s="5" t="s">
        <v>241</v>
      </c>
      <c r="B151" s="5">
        <v>11</v>
      </c>
      <c r="C151" s="5" t="s">
        <v>29</v>
      </c>
      <c r="D151" s="5" t="s">
        <v>30</v>
      </c>
      <c r="E151" s="5" t="s">
        <v>19</v>
      </c>
      <c r="F151" s="5" t="s">
        <v>63</v>
      </c>
      <c r="G151" s="6" t="s">
        <v>97</v>
      </c>
      <c r="H151" s="7">
        <v>800</v>
      </c>
      <c r="I151" s="5" t="s">
        <v>20</v>
      </c>
      <c r="J151" s="5"/>
      <c r="K151" s="22">
        <f t="shared" si="2"/>
        <v>0</v>
      </c>
    </row>
    <row r="152" spans="1:11" x14ac:dyDescent="0.45">
      <c r="A152" s="2" t="s">
        <v>242</v>
      </c>
      <c r="B152" s="2">
        <v>3</v>
      </c>
      <c r="C152" s="2" t="s">
        <v>18</v>
      </c>
      <c r="D152" s="2" t="s">
        <v>12</v>
      </c>
      <c r="E152" s="2" t="s">
        <v>13</v>
      </c>
      <c r="F152" s="2" t="s">
        <v>102</v>
      </c>
      <c r="G152" s="3" t="s">
        <v>243</v>
      </c>
      <c r="H152" s="4">
        <v>75700</v>
      </c>
      <c r="I152" s="2" t="s">
        <v>16</v>
      </c>
      <c r="J152" s="2"/>
      <c r="K152" s="22">
        <f t="shared" si="2"/>
        <v>0</v>
      </c>
    </row>
    <row r="153" spans="1:11" x14ac:dyDescent="0.45">
      <c r="A153" s="5" t="s">
        <v>244</v>
      </c>
      <c r="B153" s="5">
        <v>8</v>
      </c>
      <c r="C153" s="5" t="s">
        <v>60</v>
      </c>
      <c r="D153" s="5" t="s">
        <v>41</v>
      </c>
      <c r="E153" s="5" t="s">
        <v>35</v>
      </c>
      <c r="F153" s="5" t="s">
        <v>75</v>
      </c>
      <c r="G153" s="6" t="s">
        <v>83</v>
      </c>
      <c r="H153" s="7">
        <v>3700</v>
      </c>
      <c r="I153" s="5" t="s">
        <v>38</v>
      </c>
      <c r="J153" s="5"/>
      <c r="K153" s="22">
        <f t="shared" si="2"/>
        <v>0</v>
      </c>
    </row>
    <row r="154" spans="1:11" x14ac:dyDescent="0.45">
      <c r="A154" s="2" t="s">
        <v>245</v>
      </c>
      <c r="B154" s="2">
        <v>9</v>
      </c>
      <c r="C154" s="2" t="s">
        <v>40</v>
      </c>
      <c r="D154" s="2" t="s">
        <v>41</v>
      </c>
      <c r="E154" s="2" t="s">
        <v>13</v>
      </c>
      <c r="F154" s="2" t="s">
        <v>102</v>
      </c>
      <c r="G154" s="3" t="s">
        <v>140</v>
      </c>
      <c r="H154" s="4">
        <v>76200</v>
      </c>
      <c r="I154" s="2" t="s">
        <v>16</v>
      </c>
      <c r="J154" s="2"/>
      <c r="K154" s="22">
        <f t="shared" si="2"/>
        <v>0</v>
      </c>
    </row>
    <row r="155" spans="1:11" x14ac:dyDescent="0.45">
      <c r="A155" s="5" t="s">
        <v>246</v>
      </c>
      <c r="B155" s="5">
        <v>7</v>
      </c>
      <c r="C155" s="5" t="s">
        <v>56</v>
      </c>
      <c r="D155" s="5" t="s">
        <v>41</v>
      </c>
      <c r="E155" s="5" t="s">
        <v>57</v>
      </c>
      <c r="F155" s="5" t="s">
        <v>63</v>
      </c>
      <c r="G155" s="6" t="s">
        <v>69</v>
      </c>
      <c r="H155" s="7">
        <v>500</v>
      </c>
      <c r="I155" s="5" t="s">
        <v>58</v>
      </c>
      <c r="J155" s="5"/>
      <c r="K155" s="22">
        <f t="shared" si="2"/>
        <v>0</v>
      </c>
    </row>
    <row r="156" spans="1:11" x14ac:dyDescent="0.45">
      <c r="A156" s="2" t="s">
        <v>247</v>
      </c>
      <c r="B156" s="2">
        <v>3</v>
      </c>
      <c r="C156" s="2" t="s">
        <v>18</v>
      </c>
      <c r="D156" s="2" t="s">
        <v>12</v>
      </c>
      <c r="E156" s="2" t="s">
        <v>71</v>
      </c>
      <c r="F156" s="2" t="s">
        <v>94</v>
      </c>
      <c r="G156" s="3" t="s">
        <v>157</v>
      </c>
      <c r="H156" s="4">
        <v>6000</v>
      </c>
      <c r="I156" s="2" t="s">
        <v>72</v>
      </c>
      <c r="J156" s="2"/>
      <c r="K156" s="22">
        <f t="shared" si="2"/>
        <v>0</v>
      </c>
    </row>
    <row r="157" spans="1:11" x14ac:dyDescent="0.45">
      <c r="A157" s="5" t="s">
        <v>248</v>
      </c>
      <c r="B157" s="5">
        <v>1</v>
      </c>
      <c r="C157" s="5" t="s">
        <v>66</v>
      </c>
      <c r="D157" s="5" t="s">
        <v>12</v>
      </c>
      <c r="E157" s="5" t="s">
        <v>19</v>
      </c>
      <c r="F157" s="5" t="s">
        <v>14</v>
      </c>
      <c r="G157" s="6" t="s">
        <v>48</v>
      </c>
      <c r="H157" s="7">
        <v>229800</v>
      </c>
      <c r="I157" s="5" t="s">
        <v>20</v>
      </c>
      <c r="J157" s="5"/>
      <c r="K157" s="22">
        <f t="shared" si="2"/>
        <v>0</v>
      </c>
    </row>
    <row r="158" spans="1:11" x14ac:dyDescent="0.45">
      <c r="A158" s="2" t="s">
        <v>249</v>
      </c>
      <c r="B158" s="2">
        <v>3</v>
      </c>
      <c r="C158" s="2" t="s">
        <v>18</v>
      </c>
      <c r="D158" s="2" t="s">
        <v>12</v>
      </c>
      <c r="E158" s="2" t="s">
        <v>57</v>
      </c>
      <c r="F158" s="2" t="s">
        <v>75</v>
      </c>
      <c r="G158" s="3" t="s">
        <v>83</v>
      </c>
      <c r="H158" s="4">
        <v>18000</v>
      </c>
      <c r="I158" s="2" t="s">
        <v>58</v>
      </c>
      <c r="J158" s="2"/>
      <c r="K158" s="22">
        <f t="shared" si="2"/>
        <v>0</v>
      </c>
    </row>
    <row r="159" spans="1:11" x14ac:dyDescent="0.45">
      <c r="A159" s="5" t="s">
        <v>250</v>
      </c>
      <c r="B159" s="5">
        <v>9</v>
      </c>
      <c r="C159" s="5" t="s">
        <v>40</v>
      </c>
      <c r="D159" s="5" t="s">
        <v>41</v>
      </c>
      <c r="E159" s="5" t="s">
        <v>71</v>
      </c>
      <c r="F159" s="5" t="s">
        <v>63</v>
      </c>
      <c r="G159" s="6" t="s">
        <v>97</v>
      </c>
      <c r="H159" s="7">
        <v>19300</v>
      </c>
      <c r="I159" s="5" t="s">
        <v>72</v>
      </c>
      <c r="J159" s="5"/>
      <c r="K159" s="22">
        <f t="shared" si="2"/>
        <v>0</v>
      </c>
    </row>
    <row r="160" spans="1:11" x14ac:dyDescent="0.45">
      <c r="A160" s="2" t="s">
        <v>251</v>
      </c>
      <c r="B160" s="2">
        <v>4</v>
      </c>
      <c r="C160" s="2" t="s">
        <v>47</v>
      </c>
      <c r="D160" s="2" t="s">
        <v>23</v>
      </c>
      <c r="E160" s="2" t="s">
        <v>57</v>
      </c>
      <c r="F160" s="2" t="s">
        <v>75</v>
      </c>
      <c r="G160" s="3" t="s">
        <v>83</v>
      </c>
      <c r="H160" s="4">
        <v>31300</v>
      </c>
      <c r="I160" s="2" t="s">
        <v>58</v>
      </c>
      <c r="J160" s="2"/>
      <c r="K160" s="22">
        <f t="shared" si="2"/>
        <v>0</v>
      </c>
    </row>
    <row r="161" spans="1:11" x14ac:dyDescent="0.45">
      <c r="A161" s="5" t="s">
        <v>252</v>
      </c>
      <c r="B161" s="5">
        <v>10</v>
      </c>
      <c r="C161" s="5" t="s">
        <v>40</v>
      </c>
      <c r="D161" s="5" t="s">
        <v>30</v>
      </c>
      <c r="E161" s="5" t="s">
        <v>13</v>
      </c>
      <c r="F161" s="5" t="s">
        <v>102</v>
      </c>
      <c r="G161" s="6" t="s">
        <v>140</v>
      </c>
      <c r="H161" s="7">
        <v>6400</v>
      </c>
      <c r="I161" s="5" t="s">
        <v>16</v>
      </c>
      <c r="J161" s="5"/>
      <c r="K161" s="22">
        <f t="shared" si="2"/>
        <v>0</v>
      </c>
    </row>
    <row r="162" spans="1:11" x14ac:dyDescent="0.45">
      <c r="A162" s="2" t="s">
        <v>253</v>
      </c>
      <c r="B162" s="2">
        <v>12</v>
      </c>
      <c r="C162" s="2" t="s">
        <v>34</v>
      </c>
      <c r="D162" s="2" t="s">
        <v>30</v>
      </c>
      <c r="E162" s="2" t="s">
        <v>35</v>
      </c>
      <c r="F162" s="2" t="s">
        <v>36</v>
      </c>
      <c r="G162" s="3" t="s">
        <v>111</v>
      </c>
      <c r="H162" s="4">
        <v>21100</v>
      </c>
      <c r="I162" s="2" t="s">
        <v>38</v>
      </c>
      <c r="J162" s="2"/>
      <c r="K162" s="22">
        <f t="shared" si="2"/>
        <v>0</v>
      </c>
    </row>
    <row r="163" spans="1:11" x14ac:dyDescent="0.45">
      <c r="A163" s="5" t="s">
        <v>254</v>
      </c>
      <c r="B163" s="5">
        <v>6</v>
      </c>
      <c r="C163" s="5" t="s">
        <v>78</v>
      </c>
      <c r="D163" s="5" t="s">
        <v>23</v>
      </c>
      <c r="E163" s="5" t="s">
        <v>57</v>
      </c>
      <c r="F163" s="5" t="s">
        <v>75</v>
      </c>
      <c r="G163" s="6" t="s">
        <v>179</v>
      </c>
      <c r="H163" s="7">
        <v>8200</v>
      </c>
      <c r="I163" s="5" t="s">
        <v>58</v>
      </c>
      <c r="J163" s="5"/>
      <c r="K163" s="22">
        <f t="shared" si="2"/>
        <v>0</v>
      </c>
    </row>
    <row r="164" spans="1:11" x14ac:dyDescent="0.45">
      <c r="A164" s="2" t="s">
        <v>255</v>
      </c>
      <c r="B164" s="2">
        <v>10</v>
      </c>
      <c r="C164" s="2" t="s">
        <v>40</v>
      </c>
      <c r="D164" s="2" t="s">
        <v>30</v>
      </c>
      <c r="E164" s="2" t="s">
        <v>19</v>
      </c>
      <c r="F164" s="2" t="s">
        <v>31</v>
      </c>
      <c r="G164" s="3" t="s">
        <v>81</v>
      </c>
      <c r="H164" s="4">
        <v>13300</v>
      </c>
      <c r="I164" s="2" t="s">
        <v>20</v>
      </c>
      <c r="J164" s="2"/>
      <c r="K164" s="22">
        <f t="shared" si="2"/>
        <v>0</v>
      </c>
    </row>
    <row r="165" spans="1:11" x14ac:dyDescent="0.45">
      <c r="A165" s="5" t="s">
        <v>256</v>
      </c>
      <c r="B165" s="5">
        <v>2</v>
      </c>
      <c r="C165" s="5" t="s">
        <v>11</v>
      </c>
      <c r="D165" s="5" t="s">
        <v>12</v>
      </c>
      <c r="E165" s="5" t="s">
        <v>71</v>
      </c>
      <c r="F165" s="5" t="s">
        <v>63</v>
      </c>
      <c r="G165" s="6" t="s">
        <v>97</v>
      </c>
      <c r="H165" s="7">
        <v>15300</v>
      </c>
      <c r="I165" s="5" t="s">
        <v>72</v>
      </c>
      <c r="J165" s="5"/>
      <c r="K165" s="22">
        <f t="shared" si="2"/>
        <v>0</v>
      </c>
    </row>
    <row r="166" spans="1:11" x14ac:dyDescent="0.45">
      <c r="A166" s="2" t="s">
        <v>257</v>
      </c>
      <c r="B166" s="2">
        <v>8</v>
      </c>
      <c r="C166" s="2" t="s">
        <v>60</v>
      </c>
      <c r="D166" s="2" t="s">
        <v>41</v>
      </c>
      <c r="E166" s="2" t="s">
        <v>71</v>
      </c>
      <c r="F166" s="2" t="s">
        <v>88</v>
      </c>
      <c r="G166" s="3" t="s">
        <v>258</v>
      </c>
      <c r="H166" s="4">
        <v>163600</v>
      </c>
      <c r="I166" s="2" t="s">
        <v>72</v>
      </c>
      <c r="J166" s="2"/>
      <c r="K166" s="22">
        <f t="shared" si="2"/>
        <v>0</v>
      </c>
    </row>
    <row r="167" spans="1:11" x14ac:dyDescent="0.45">
      <c r="A167" s="5" t="s">
        <v>259</v>
      </c>
      <c r="B167" s="5">
        <v>11</v>
      </c>
      <c r="C167" s="5" t="s">
        <v>29</v>
      </c>
      <c r="D167" s="5" t="s">
        <v>30</v>
      </c>
      <c r="E167" s="5" t="s">
        <v>57</v>
      </c>
      <c r="F167" s="5" t="s">
        <v>63</v>
      </c>
      <c r="G167" s="6" t="s">
        <v>64</v>
      </c>
      <c r="H167" s="7">
        <v>10700</v>
      </c>
      <c r="I167" s="5" t="s">
        <v>58</v>
      </c>
      <c r="J167" s="5"/>
      <c r="K167" s="22">
        <f t="shared" si="2"/>
        <v>0</v>
      </c>
    </row>
    <row r="168" spans="1:11" x14ac:dyDescent="0.45">
      <c r="A168" s="2" t="s">
        <v>260</v>
      </c>
      <c r="B168" s="2">
        <v>7</v>
      </c>
      <c r="C168" s="2" t="s">
        <v>56</v>
      </c>
      <c r="D168" s="2" t="s">
        <v>41</v>
      </c>
      <c r="E168" s="2" t="s">
        <v>35</v>
      </c>
      <c r="F168" s="2" t="s">
        <v>36</v>
      </c>
      <c r="G168" s="3" t="s">
        <v>37</v>
      </c>
      <c r="H168" s="4">
        <v>7800</v>
      </c>
      <c r="I168" s="2" t="s">
        <v>38</v>
      </c>
      <c r="J168" s="2"/>
      <c r="K168" s="22">
        <f t="shared" si="2"/>
        <v>0</v>
      </c>
    </row>
    <row r="169" spans="1:11" x14ac:dyDescent="0.45">
      <c r="A169" s="5" t="s">
        <v>261</v>
      </c>
      <c r="B169" s="5">
        <v>10</v>
      </c>
      <c r="C169" s="5" t="s">
        <v>40</v>
      </c>
      <c r="D169" s="5" t="s">
        <v>30</v>
      </c>
      <c r="E169" s="5" t="s">
        <v>24</v>
      </c>
      <c r="F169" s="5" t="s">
        <v>36</v>
      </c>
      <c r="G169" s="6" t="s">
        <v>37</v>
      </c>
      <c r="H169" s="7">
        <v>34700</v>
      </c>
      <c r="I169" s="5" t="s">
        <v>27</v>
      </c>
      <c r="J169" s="5"/>
      <c r="K169" s="22">
        <f t="shared" si="2"/>
        <v>0</v>
      </c>
    </row>
    <row r="170" spans="1:11" x14ac:dyDescent="0.45">
      <c r="A170" s="2" t="s">
        <v>262</v>
      </c>
      <c r="B170" s="2">
        <v>3</v>
      </c>
      <c r="C170" s="2" t="s">
        <v>18</v>
      </c>
      <c r="D170" s="2" t="s">
        <v>12</v>
      </c>
      <c r="E170" s="2" t="s">
        <v>19</v>
      </c>
      <c r="F170" s="2" t="s">
        <v>14</v>
      </c>
      <c r="G170" s="3" t="s">
        <v>42</v>
      </c>
      <c r="H170" s="4">
        <v>6600</v>
      </c>
      <c r="I170" s="2" t="s">
        <v>20</v>
      </c>
      <c r="J170" s="2"/>
      <c r="K170" s="22">
        <f t="shared" si="2"/>
        <v>0</v>
      </c>
    </row>
    <row r="171" spans="1:11" x14ac:dyDescent="0.45">
      <c r="A171" s="5" t="s">
        <v>263</v>
      </c>
      <c r="B171" s="5">
        <v>3</v>
      </c>
      <c r="C171" s="5" t="s">
        <v>18</v>
      </c>
      <c r="D171" s="5" t="s">
        <v>12</v>
      </c>
      <c r="E171" s="5" t="s">
        <v>57</v>
      </c>
      <c r="F171" s="5" t="s">
        <v>14</v>
      </c>
      <c r="G171" s="6" t="s">
        <v>48</v>
      </c>
      <c r="H171" s="7">
        <v>131800</v>
      </c>
      <c r="I171" s="5" t="s">
        <v>58</v>
      </c>
      <c r="J171" s="5"/>
      <c r="K171" s="22">
        <f t="shared" si="2"/>
        <v>0</v>
      </c>
    </row>
    <row r="172" spans="1:11" x14ac:dyDescent="0.45">
      <c r="A172" s="2" t="s">
        <v>264</v>
      </c>
      <c r="B172" s="2">
        <v>1</v>
      </c>
      <c r="C172" s="2" t="s">
        <v>66</v>
      </c>
      <c r="D172" s="2" t="s">
        <v>12</v>
      </c>
      <c r="E172" s="2" t="s">
        <v>35</v>
      </c>
      <c r="F172" s="2" t="s">
        <v>75</v>
      </c>
      <c r="G172" s="3" t="s">
        <v>76</v>
      </c>
      <c r="H172" s="4">
        <v>7200</v>
      </c>
      <c r="I172" s="2" t="s">
        <v>38</v>
      </c>
      <c r="J172" s="2"/>
      <c r="K172" s="22">
        <f t="shared" si="2"/>
        <v>0</v>
      </c>
    </row>
    <row r="173" spans="1:11" x14ac:dyDescent="0.45">
      <c r="A173" s="5" t="s">
        <v>265</v>
      </c>
      <c r="B173" s="5">
        <v>1</v>
      </c>
      <c r="C173" s="5" t="s">
        <v>66</v>
      </c>
      <c r="D173" s="5" t="s">
        <v>12</v>
      </c>
      <c r="E173" s="5" t="s">
        <v>71</v>
      </c>
      <c r="F173" s="5" t="s">
        <v>14</v>
      </c>
      <c r="G173" s="6" t="s">
        <v>15</v>
      </c>
      <c r="H173" s="7">
        <v>151700</v>
      </c>
      <c r="I173" s="5" t="s">
        <v>72</v>
      </c>
      <c r="J173" s="5"/>
      <c r="K173" s="22">
        <f t="shared" si="2"/>
        <v>0</v>
      </c>
    </row>
    <row r="174" spans="1:11" x14ac:dyDescent="0.45">
      <c r="A174" s="2" t="s">
        <v>266</v>
      </c>
      <c r="B174" s="2">
        <v>1</v>
      </c>
      <c r="C174" s="2" t="s">
        <v>66</v>
      </c>
      <c r="D174" s="2" t="s">
        <v>12</v>
      </c>
      <c r="E174" s="2" t="s">
        <v>13</v>
      </c>
      <c r="F174" s="2" t="s">
        <v>14</v>
      </c>
      <c r="G174" s="3" t="s">
        <v>42</v>
      </c>
      <c r="H174" s="4">
        <v>165500</v>
      </c>
      <c r="I174" s="2" t="s">
        <v>16</v>
      </c>
      <c r="J174" s="2"/>
      <c r="K174" s="22">
        <f t="shared" si="2"/>
        <v>0</v>
      </c>
    </row>
    <row r="175" spans="1:11" x14ac:dyDescent="0.45">
      <c r="A175" s="5" t="s">
        <v>267</v>
      </c>
      <c r="B175" s="5">
        <v>4</v>
      </c>
      <c r="C175" s="5" t="s">
        <v>47</v>
      </c>
      <c r="D175" s="5" t="s">
        <v>23</v>
      </c>
      <c r="E175" s="5" t="s">
        <v>57</v>
      </c>
      <c r="F175" s="5" t="s">
        <v>63</v>
      </c>
      <c r="G175" s="6" t="s">
        <v>69</v>
      </c>
      <c r="H175" s="7">
        <v>11300</v>
      </c>
      <c r="I175" s="5" t="s">
        <v>58</v>
      </c>
      <c r="J175" s="5"/>
      <c r="K175" s="22">
        <f t="shared" si="2"/>
        <v>0</v>
      </c>
    </row>
    <row r="176" spans="1:11" x14ac:dyDescent="0.45">
      <c r="A176" s="2" t="s">
        <v>268</v>
      </c>
      <c r="B176" s="2">
        <v>6</v>
      </c>
      <c r="C176" s="2" t="s">
        <v>78</v>
      </c>
      <c r="D176" s="2" t="s">
        <v>23</v>
      </c>
      <c r="E176" s="2" t="s">
        <v>35</v>
      </c>
      <c r="F176" s="2" t="s">
        <v>75</v>
      </c>
      <c r="G176" s="3" t="s">
        <v>83</v>
      </c>
      <c r="H176" s="4">
        <v>7400</v>
      </c>
      <c r="I176" s="2" t="s">
        <v>38</v>
      </c>
      <c r="J176" s="2"/>
      <c r="K176" s="22">
        <f t="shared" si="2"/>
        <v>0</v>
      </c>
    </row>
    <row r="177" spans="1:11" x14ac:dyDescent="0.45">
      <c r="A177" s="5" t="s">
        <v>269</v>
      </c>
      <c r="B177" s="5">
        <v>9</v>
      </c>
      <c r="C177" s="5" t="s">
        <v>40</v>
      </c>
      <c r="D177" s="5" t="s">
        <v>41</v>
      </c>
      <c r="E177" s="5" t="s">
        <v>24</v>
      </c>
      <c r="F177" s="5" t="s">
        <v>36</v>
      </c>
      <c r="G177" s="6" t="s">
        <v>111</v>
      </c>
      <c r="H177" s="7">
        <v>9900</v>
      </c>
      <c r="I177" s="5" t="s">
        <v>27</v>
      </c>
      <c r="J177" s="5"/>
      <c r="K177" s="22">
        <f t="shared" si="2"/>
        <v>0</v>
      </c>
    </row>
    <row r="178" spans="1:11" x14ac:dyDescent="0.45">
      <c r="A178" s="2" t="s">
        <v>270</v>
      </c>
      <c r="B178" s="2">
        <v>2</v>
      </c>
      <c r="C178" s="2" t="s">
        <v>11</v>
      </c>
      <c r="D178" s="2" t="s">
        <v>12</v>
      </c>
      <c r="E178" s="2" t="s">
        <v>13</v>
      </c>
      <c r="F178" s="2" t="s">
        <v>102</v>
      </c>
      <c r="G178" s="3" t="s">
        <v>243</v>
      </c>
      <c r="H178" s="4">
        <v>36400</v>
      </c>
      <c r="I178" s="2" t="s">
        <v>16</v>
      </c>
      <c r="J178" s="2"/>
      <c r="K178" s="22">
        <f t="shared" si="2"/>
        <v>0</v>
      </c>
    </row>
    <row r="179" spans="1:11" x14ac:dyDescent="0.45">
      <c r="A179" s="5" t="s">
        <v>271</v>
      </c>
      <c r="B179" s="5">
        <v>3</v>
      </c>
      <c r="C179" s="5" t="s">
        <v>18</v>
      </c>
      <c r="D179" s="5" t="s">
        <v>12</v>
      </c>
      <c r="E179" s="5" t="s">
        <v>13</v>
      </c>
      <c r="F179" s="5" t="s">
        <v>50</v>
      </c>
      <c r="G179" s="6" t="s">
        <v>51</v>
      </c>
      <c r="H179" s="7">
        <v>50000</v>
      </c>
      <c r="I179" s="5" t="s">
        <v>16</v>
      </c>
      <c r="J179" s="5"/>
      <c r="K179" s="22">
        <f t="shared" si="2"/>
        <v>0</v>
      </c>
    </row>
    <row r="180" spans="1:11" x14ac:dyDescent="0.45">
      <c r="A180" s="2" t="s">
        <v>272</v>
      </c>
      <c r="B180" s="2">
        <v>12</v>
      </c>
      <c r="C180" s="2" t="s">
        <v>34</v>
      </c>
      <c r="D180" s="2" t="s">
        <v>30</v>
      </c>
      <c r="E180" s="2" t="s">
        <v>13</v>
      </c>
      <c r="F180" s="2" t="s">
        <v>63</v>
      </c>
      <c r="G180" s="3" t="s">
        <v>69</v>
      </c>
      <c r="H180" s="4">
        <v>3400</v>
      </c>
      <c r="I180" s="2" t="s">
        <v>16</v>
      </c>
      <c r="J180" s="2"/>
      <c r="K180" s="22">
        <f t="shared" si="2"/>
        <v>0</v>
      </c>
    </row>
    <row r="181" spans="1:11" x14ac:dyDescent="0.45">
      <c r="A181" s="5" t="s">
        <v>273</v>
      </c>
      <c r="B181" s="5">
        <v>2</v>
      </c>
      <c r="C181" s="5" t="s">
        <v>11</v>
      </c>
      <c r="D181" s="5" t="s">
        <v>12</v>
      </c>
      <c r="E181" s="5" t="s">
        <v>35</v>
      </c>
      <c r="F181" s="5" t="s">
        <v>36</v>
      </c>
      <c r="G181" s="6" t="s">
        <v>111</v>
      </c>
      <c r="H181" s="7">
        <v>8600</v>
      </c>
      <c r="I181" s="5" t="s">
        <v>38</v>
      </c>
      <c r="J181" s="5"/>
      <c r="K181" s="22">
        <f t="shared" si="2"/>
        <v>0</v>
      </c>
    </row>
    <row r="182" spans="1:11" x14ac:dyDescent="0.45">
      <c r="A182" s="2" t="s">
        <v>274</v>
      </c>
      <c r="B182" s="2">
        <v>1</v>
      </c>
      <c r="C182" s="2" t="s">
        <v>66</v>
      </c>
      <c r="D182" s="2" t="s">
        <v>12</v>
      </c>
      <c r="E182" s="2" t="s">
        <v>24</v>
      </c>
      <c r="F182" s="2" t="s">
        <v>14</v>
      </c>
      <c r="G182" s="3" t="s">
        <v>15</v>
      </c>
      <c r="H182" s="4">
        <v>302700</v>
      </c>
      <c r="I182" s="2" t="s">
        <v>27</v>
      </c>
      <c r="J182" s="2"/>
      <c r="K182" s="22">
        <f t="shared" si="2"/>
        <v>0</v>
      </c>
    </row>
    <row r="183" spans="1:11" x14ac:dyDescent="0.45">
      <c r="A183" s="5" t="s">
        <v>275</v>
      </c>
      <c r="B183" s="5">
        <v>10</v>
      </c>
      <c r="C183" s="5" t="s">
        <v>40</v>
      </c>
      <c r="D183" s="5" t="s">
        <v>30</v>
      </c>
      <c r="E183" s="5" t="s">
        <v>13</v>
      </c>
      <c r="F183" s="5" t="s">
        <v>102</v>
      </c>
      <c r="G183" s="6" t="s">
        <v>140</v>
      </c>
      <c r="H183" s="7">
        <v>131400</v>
      </c>
      <c r="I183" s="5" t="s">
        <v>16</v>
      </c>
      <c r="J183" s="5"/>
      <c r="K183" s="22">
        <f t="shared" si="2"/>
        <v>0</v>
      </c>
    </row>
    <row r="184" spans="1:11" x14ac:dyDescent="0.45">
      <c r="A184" s="2" t="s">
        <v>276</v>
      </c>
      <c r="B184" s="2">
        <v>9</v>
      </c>
      <c r="C184" s="2" t="s">
        <v>40</v>
      </c>
      <c r="D184" s="2" t="s">
        <v>41</v>
      </c>
      <c r="E184" s="2" t="s">
        <v>13</v>
      </c>
      <c r="F184" s="2" t="s">
        <v>14</v>
      </c>
      <c r="G184" s="3" t="s">
        <v>48</v>
      </c>
      <c r="H184" s="4">
        <v>226500</v>
      </c>
      <c r="I184" s="2" t="s">
        <v>16</v>
      </c>
      <c r="J184" s="2"/>
      <c r="K184" s="22">
        <f t="shared" si="2"/>
        <v>0</v>
      </c>
    </row>
    <row r="185" spans="1:11" x14ac:dyDescent="0.45">
      <c r="A185" s="5" t="s">
        <v>277</v>
      </c>
      <c r="B185" s="5">
        <v>8</v>
      </c>
      <c r="C185" s="5" t="s">
        <v>60</v>
      </c>
      <c r="D185" s="5" t="s">
        <v>41</v>
      </c>
      <c r="E185" s="5" t="s">
        <v>19</v>
      </c>
      <c r="F185" s="5" t="s">
        <v>63</v>
      </c>
      <c r="G185" s="6" t="s">
        <v>69</v>
      </c>
      <c r="H185" s="7">
        <v>7800</v>
      </c>
      <c r="I185" s="5" t="s">
        <v>20</v>
      </c>
      <c r="J185" s="5"/>
      <c r="K185" s="22">
        <f t="shared" si="2"/>
        <v>0</v>
      </c>
    </row>
    <row r="186" spans="1:11" x14ac:dyDescent="0.45">
      <c r="A186" s="2" t="s">
        <v>278</v>
      </c>
      <c r="B186" s="2">
        <v>4</v>
      </c>
      <c r="C186" s="2" t="s">
        <v>47</v>
      </c>
      <c r="D186" s="2" t="s">
        <v>23</v>
      </c>
      <c r="E186" s="2" t="s">
        <v>24</v>
      </c>
      <c r="F186" s="2" t="s">
        <v>14</v>
      </c>
      <c r="G186" s="3" t="s">
        <v>48</v>
      </c>
      <c r="H186" s="4">
        <v>269000</v>
      </c>
      <c r="I186" s="2" t="s">
        <v>27</v>
      </c>
      <c r="J186" s="2"/>
      <c r="K186" s="22">
        <f t="shared" si="2"/>
        <v>0</v>
      </c>
    </row>
    <row r="187" spans="1:11" x14ac:dyDescent="0.45">
      <c r="A187" s="5" t="s">
        <v>279</v>
      </c>
      <c r="B187" s="5">
        <v>9</v>
      </c>
      <c r="C187" s="5" t="s">
        <v>40</v>
      </c>
      <c r="D187" s="5" t="s">
        <v>41</v>
      </c>
      <c r="E187" s="5" t="s">
        <v>13</v>
      </c>
      <c r="F187" s="5" t="s">
        <v>50</v>
      </c>
      <c r="G187" s="6" t="s">
        <v>91</v>
      </c>
      <c r="H187" s="7">
        <v>59200</v>
      </c>
      <c r="I187" s="5" t="s">
        <v>16</v>
      </c>
      <c r="J187" s="5"/>
      <c r="K187" s="22">
        <f t="shared" si="2"/>
        <v>0</v>
      </c>
    </row>
    <row r="188" spans="1:11" x14ac:dyDescent="0.45">
      <c r="A188" s="2" t="s">
        <v>280</v>
      </c>
      <c r="B188" s="2">
        <v>6</v>
      </c>
      <c r="C188" s="2" t="s">
        <v>78</v>
      </c>
      <c r="D188" s="2" t="s">
        <v>23</v>
      </c>
      <c r="E188" s="2" t="s">
        <v>19</v>
      </c>
      <c r="F188" s="2" t="s">
        <v>31</v>
      </c>
      <c r="G188" s="3" t="s">
        <v>79</v>
      </c>
      <c r="H188" s="4">
        <v>2600</v>
      </c>
      <c r="I188" s="2" t="s">
        <v>20</v>
      </c>
      <c r="J188" s="2"/>
      <c r="K188" s="22">
        <f t="shared" si="2"/>
        <v>0</v>
      </c>
    </row>
    <row r="189" spans="1:11" x14ac:dyDescent="0.45">
      <c r="A189" s="5" t="s">
        <v>281</v>
      </c>
      <c r="B189" s="5">
        <v>4</v>
      </c>
      <c r="C189" s="5" t="s">
        <v>47</v>
      </c>
      <c r="D189" s="5" t="s">
        <v>23</v>
      </c>
      <c r="E189" s="5" t="s">
        <v>13</v>
      </c>
      <c r="F189" s="5" t="s">
        <v>14</v>
      </c>
      <c r="G189" s="6" t="s">
        <v>48</v>
      </c>
      <c r="H189" s="7">
        <v>95800</v>
      </c>
      <c r="I189" s="5" t="s">
        <v>16</v>
      </c>
      <c r="J189" s="5"/>
      <c r="K189" s="22">
        <f t="shared" si="2"/>
        <v>0</v>
      </c>
    </row>
    <row r="190" spans="1:11" x14ac:dyDescent="0.45">
      <c r="A190" s="2" t="s">
        <v>282</v>
      </c>
      <c r="B190" s="2">
        <v>12</v>
      </c>
      <c r="C190" s="2" t="s">
        <v>34</v>
      </c>
      <c r="D190" s="2" t="s">
        <v>30</v>
      </c>
      <c r="E190" s="2" t="s">
        <v>13</v>
      </c>
      <c r="F190" s="2" t="s">
        <v>14</v>
      </c>
      <c r="G190" s="3" t="s">
        <v>48</v>
      </c>
      <c r="H190" s="4">
        <v>32800</v>
      </c>
      <c r="I190" s="2" t="s">
        <v>16</v>
      </c>
      <c r="J190" s="2"/>
      <c r="K190" s="22">
        <f t="shared" si="2"/>
        <v>0</v>
      </c>
    </row>
    <row r="191" spans="1:11" x14ac:dyDescent="0.45">
      <c r="A191" s="5" t="s">
        <v>283</v>
      </c>
      <c r="B191" s="5">
        <v>5</v>
      </c>
      <c r="C191" s="5" t="s">
        <v>22</v>
      </c>
      <c r="D191" s="5" t="s">
        <v>23</v>
      </c>
      <c r="E191" s="5" t="s">
        <v>24</v>
      </c>
      <c r="F191" s="5" t="s">
        <v>36</v>
      </c>
      <c r="G191" s="6" t="s">
        <v>111</v>
      </c>
      <c r="H191" s="7">
        <v>81400</v>
      </c>
      <c r="I191" s="5" t="s">
        <v>27</v>
      </c>
      <c r="J191" s="5"/>
      <c r="K191" s="22">
        <f t="shared" si="2"/>
        <v>0</v>
      </c>
    </row>
    <row r="192" spans="1:11" x14ac:dyDescent="0.45">
      <c r="A192" s="2" t="s">
        <v>284</v>
      </c>
      <c r="B192" s="2">
        <v>8</v>
      </c>
      <c r="C192" s="2" t="s">
        <v>60</v>
      </c>
      <c r="D192" s="2" t="s">
        <v>41</v>
      </c>
      <c r="E192" s="2" t="s">
        <v>24</v>
      </c>
      <c r="F192" s="2" t="s">
        <v>36</v>
      </c>
      <c r="G192" s="3" t="s">
        <v>111</v>
      </c>
      <c r="H192" s="4">
        <v>4800</v>
      </c>
      <c r="I192" s="2" t="s">
        <v>27</v>
      </c>
      <c r="J192" s="2"/>
      <c r="K192" s="22">
        <f t="shared" si="2"/>
        <v>0</v>
      </c>
    </row>
    <row r="193" spans="1:11" x14ac:dyDescent="0.45">
      <c r="A193" s="5" t="s">
        <v>285</v>
      </c>
      <c r="B193" s="5">
        <v>9</v>
      </c>
      <c r="C193" s="5" t="s">
        <v>40</v>
      </c>
      <c r="D193" s="5" t="s">
        <v>41</v>
      </c>
      <c r="E193" s="5" t="s">
        <v>24</v>
      </c>
      <c r="F193" s="5" t="s">
        <v>44</v>
      </c>
      <c r="G193" s="6" t="s">
        <v>67</v>
      </c>
      <c r="H193" s="7">
        <v>42400</v>
      </c>
      <c r="I193" s="5" t="s">
        <v>27</v>
      </c>
      <c r="J193" s="5"/>
      <c r="K193" s="22">
        <f t="shared" si="2"/>
        <v>0</v>
      </c>
    </row>
    <row r="194" spans="1:11" x14ac:dyDescent="0.45">
      <c r="A194" s="2" t="s">
        <v>286</v>
      </c>
      <c r="B194" s="2">
        <v>10</v>
      </c>
      <c r="C194" s="2" t="s">
        <v>40</v>
      </c>
      <c r="D194" s="2" t="s">
        <v>30</v>
      </c>
      <c r="E194" s="2" t="s">
        <v>13</v>
      </c>
      <c r="F194" s="2" t="s">
        <v>102</v>
      </c>
      <c r="G194" s="3" t="s">
        <v>243</v>
      </c>
      <c r="H194" s="4">
        <v>9600</v>
      </c>
      <c r="I194" s="2" t="s">
        <v>16</v>
      </c>
      <c r="J194" s="2"/>
      <c r="K194" s="22">
        <f t="shared" si="2"/>
        <v>0</v>
      </c>
    </row>
    <row r="195" spans="1:11" x14ac:dyDescent="0.45">
      <c r="A195" s="5" t="s">
        <v>287</v>
      </c>
      <c r="B195" s="5">
        <v>9</v>
      </c>
      <c r="C195" s="5" t="s">
        <v>40</v>
      </c>
      <c r="D195" s="5" t="s">
        <v>41</v>
      </c>
      <c r="E195" s="5" t="s">
        <v>13</v>
      </c>
      <c r="F195" s="5" t="s">
        <v>63</v>
      </c>
      <c r="G195" s="6" t="s">
        <v>97</v>
      </c>
      <c r="H195" s="7">
        <v>15100</v>
      </c>
      <c r="I195" s="5" t="s">
        <v>16</v>
      </c>
      <c r="J195" s="5"/>
      <c r="K195" s="22">
        <f t="shared" ref="K195:K258" si="3">IF(J195=$N$2,0,IF(J195=$N$3,1,IF(J195=$N$4,2)))</f>
        <v>0</v>
      </c>
    </row>
    <row r="196" spans="1:11" x14ac:dyDescent="0.45">
      <c r="A196" s="2" t="s">
        <v>288</v>
      </c>
      <c r="B196" s="2">
        <v>3</v>
      </c>
      <c r="C196" s="2" t="s">
        <v>18</v>
      </c>
      <c r="D196" s="2" t="s">
        <v>12</v>
      </c>
      <c r="E196" s="2" t="s">
        <v>13</v>
      </c>
      <c r="F196" s="2" t="s">
        <v>50</v>
      </c>
      <c r="G196" s="3" t="s">
        <v>91</v>
      </c>
      <c r="H196" s="4">
        <v>8600</v>
      </c>
      <c r="I196" s="2" t="s">
        <v>16</v>
      </c>
      <c r="J196" s="2"/>
      <c r="K196" s="22">
        <f t="shared" si="3"/>
        <v>0</v>
      </c>
    </row>
    <row r="197" spans="1:11" x14ac:dyDescent="0.45">
      <c r="A197" s="5" t="s">
        <v>289</v>
      </c>
      <c r="B197" s="5">
        <v>10</v>
      </c>
      <c r="C197" s="5" t="s">
        <v>40</v>
      </c>
      <c r="D197" s="5" t="s">
        <v>30</v>
      </c>
      <c r="E197" s="5" t="s">
        <v>35</v>
      </c>
      <c r="F197" s="5" t="s">
        <v>14</v>
      </c>
      <c r="G197" s="6" t="s">
        <v>42</v>
      </c>
      <c r="H197" s="7">
        <v>33800</v>
      </c>
      <c r="I197" s="5" t="s">
        <v>38</v>
      </c>
      <c r="J197" s="5"/>
      <c r="K197" s="22">
        <f t="shared" si="3"/>
        <v>0</v>
      </c>
    </row>
    <row r="198" spans="1:11" x14ac:dyDescent="0.45">
      <c r="A198" s="2" t="s">
        <v>290</v>
      </c>
      <c r="B198" s="2">
        <v>3</v>
      </c>
      <c r="C198" s="2" t="s">
        <v>18</v>
      </c>
      <c r="D198" s="2" t="s">
        <v>12</v>
      </c>
      <c r="E198" s="2" t="s">
        <v>24</v>
      </c>
      <c r="F198" s="2" t="s">
        <v>36</v>
      </c>
      <c r="G198" s="3" t="s">
        <v>126</v>
      </c>
      <c r="H198" s="4">
        <v>60600</v>
      </c>
      <c r="I198" s="2" t="s">
        <v>27</v>
      </c>
      <c r="J198" s="2"/>
      <c r="K198" s="22">
        <f t="shared" si="3"/>
        <v>0</v>
      </c>
    </row>
    <row r="199" spans="1:11" x14ac:dyDescent="0.45">
      <c r="A199" s="5" t="s">
        <v>291</v>
      </c>
      <c r="B199" s="5">
        <v>6</v>
      </c>
      <c r="C199" s="5" t="s">
        <v>78</v>
      </c>
      <c r="D199" s="5" t="s">
        <v>23</v>
      </c>
      <c r="E199" s="5" t="s">
        <v>57</v>
      </c>
      <c r="F199" s="5" t="s">
        <v>85</v>
      </c>
      <c r="G199" s="6" t="s">
        <v>129</v>
      </c>
      <c r="H199" s="7">
        <v>16900</v>
      </c>
      <c r="I199" s="5" t="s">
        <v>58</v>
      </c>
      <c r="J199" s="5" t="s">
        <v>108</v>
      </c>
      <c r="K199" s="22">
        <f t="shared" si="3"/>
        <v>1</v>
      </c>
    </row>
    <row r="200" spans="1:11" x14ac:dyDescent="0.45">
      <c r="A200" s="2" t="s">
        <v>292</v>
      </c>
      <c r="B200" s="2">
        <v>9</v>
      </c>
      <c r="C200" s="2" t="s">
        <v>40</v>
      </c>
      <c r="D200" s="2" t="s">
        <v>41</v>
      </c>
      <c r="E200" s="2" t="s">
        <v>35</v>
      </c>
      <c r="F200" s="2" t="s">
        <v>14</v>
      </c>
      <c r="G200" s="3" t="s">
        <v>48</v>
      </c>
      <c r="H200" s="4">
        <v>222100</v>
      </c>
      <c r="I200" s="2" t="s">
        <v>38</v>
      </c>
      <c r="J200" s="2"/>
      <c r="K200" s="22">
        <f t="shared" si="3"/>
        <v>0</v>
      </c>
    </row>
    <row r="201" spans="1:11" x14ac:dyDescent="0.45">
      <c r="A201" s="5" t="s">
        <v>293</v>
      </c>
      <c r="B201" s="5">
        <v>7</v>
      </c>
      <c r="C201" s="5" t="s">
        <v>56</v>
      </c>
      <c r="D201" s="5" t="s">
        <v>41</v>
      </c>
      <c r="E201" s="5" t="s">
        <v>57</v>
      </c>
      <c r="F201" s="5" t="s">
        <v>75</v>
      </c>
      <c r="G201" s="6" t="s">
        <v>76</v>
      </c>
      <c r="H201" s="7">
        <v>19500</v>
      </c>
      <c r="I201" s="5" t="s">
        <v>58</v>
      </c>
      <c r="J201" s="5"/>
      <c r="K201" s="22">
        <f t="shared" si="3"/>
        <v>0</v>
      </c>
    </row>
    <row r="202" spans="1:11" x14ac:dyDescent="0.45">
      <c r="A202" s="2" t="s">
        <v>294</v>
      </c>
      <c r="B202" s="2">
        <v>1</v>
      </c>
      <c r="C202" s="2" t="s">
        <v>66</v>
      </c>
      <c r="D202" s="2" t="s">
        <v>12</v>
      </c>
      <c r="E202" s="2" t="s">
        <v>71</v>
      </c>
      <c r="F202" s="2" t="s">
        <v>88</v>
      </c>
      <c r="G202" s="3" t="s">
        <v>176</v>
      </c>
      <c r="H202" s="4">
        <v>25100</v>
      </c>
      <c r="I202" s="2" t="s">
        <v>72</v>
      </c>
      <c r="J202" s="2"/>
      <c r="K202" s="22">
        <f t="shared" si="3"/>
        <v>0</v>
      </c>
    </row>
    <row r="203" spans="1:11" x14ac:dyDescent="0.45">
      <c r="A203" s="5" t="s">
        <v>295</v>
      </c>
      <c r="B203" s="5">
        <v>9</v>
      </c>
      <c r="C203" s="5" t="s">
        <v>40</v>
      </c>
      <c r="D203" s="5" t="s">
        <v>41</v>
      </c>
      <c r="E203" s="5" t="s">
        <v>24</v>
      </c>
      <c r="F203" s="5" t="s">
        <v>36</v>
      </c>
      <c r="G203" s="6" t="s">
        <v>37</v>
      </c>
      <c r="H203" s="7">
        <v>6200</v>
      </c>
      <c r="I203" s="5" t="s">
        <v>27</v>
      </c>
      <c r="J203" s="5"/>
      <c r="K203" s="22">
        <f t="shared" si="3"/>
        <v>0</v>
      </c>
    </row>
    <row r="204" spans="1:11" x14ac:dyDescent="0.45">
      <c r="A204" s="2" t="s">
        <v>296</v>
      </c>
      <c r="B204" s="2">
        <v>9</v>
      </c>
      <c r="C204" s="2" t="s">
        <v>40</v>
      </c>
      <c r="D204" s="2" t="s">
        <v>41</v>
      </c>
      <c r="E204" s="2" t="s">
        <v>24</v>
      </c>
      <c r="F204" s="2" t="s">
        <v>36</v>
      </c>
      <c r="G204" s="3" t="s">
        <v>111</v>
      </c>
      <c r="H204" s="4">
        <v>17000</v>
      </c>
      <c r="I204" s="2" t="s">
        <v>27</v>
      </c>
      <c r="J204" s="2"/>
      <c r="K204" s="22">
        <f t="shared" si="3"/>
        <v>0</v>
      </c>
    </row>
    <row r="205" spans="1:11" x14ac:dyDescent="0.45">
      <c r="A205" s="5" t="s">
        <v>297</v>
      </c>
      <c r="B205" s="5">
        <v>2</v>
      </c>
      <c r="C205" s="5" t="s">
        <v>11</v>
      </c>
      <c r="D205" s="5" t="s">
        <v>12</v>
      </c>
      <c r="E205" s="5" t="s">
        <v>24</v>
      </c>
      <c r="F205" s="5" t="s">
        <v>44</v>
      </c>
      <c r="G205" s="6" t="s">
        <v>45</v>
      </c>
      <c r="H205" s="7">
        <v>4100</v>
      </c>
      <c r="I205" s="5" t="s">
        <v>27</v>
      </c>
      <c r="J205" s="5"/>
      <c r="K205" s="22">
        <f t="shared" si="3"/>
        <v>0</v>
      </c>
    </row>
    <row r="206" spans="1:11" x14ac:dyDescent="0.45">
      <c r="A206" s="2" t="s">
        <v>298</v>
      </c>
      <c r="B206" s="2">
        <v>7</v>
      </c>
      <c r="C206" s="2" t="s">
        <v>56</v>
      </c>
      <c r="D206" s="2" t="s">
        <v>41</v>
      </c>
      <c r="E206" s="2" t="s">
        <v>57</v>
      </c>
      <c r="F206" s="2" t="s">
        <v>85</v>
      </c>
      <c r="G206" s="3" t="s">
        <v>86</v>
      </c>
      <c r="H206" s="4">
        <v>49600</v>
      </c>
      <c r="I206" s="2" t="s">
        <v>58</v>
      </c>
      <c r="J206" s="2"/>
      <c r="K206" s="22">
        <f t="shared" si="3"/>
        <v>0</v>
      </c>
    </row>
    <row r="207" spans="1:11" x14ac:dyDescent="0.45">
      <c r="A207" s="5" t="s">
        <v>299</v>
      </c>
      <c r="B207" s="5">
        <v>9</v>
      </c>
      <c r="C207" s="5" t="s">
        <v>40</v>
      </c>
      <c r="D207" s="5" t="s">
        <v>41</v>
      </c>
      <c r="E207" s="5" t="s">
        <v>57</v>
      </c>
      <c r="F207" s="5" t="s">
        <v>75</v>
      </c>
      <c r="G207" s="6" t="s">
        <v>83</v>
      </c>
      <c r="H207" s="7">
        <v>20900</v>
      </c>
      <c r="I207" s="5" t="s">
        <v>58</v>
      </c>
      <c r="J207" s="5"/>
      <c r="K207" s="22">
        <f t="shared" si="3"/>
        <v>0</v>
      </c>
    </row>
    <row r="208" spans="1:11" x14ac:dyDescent="0.45">
      <c r="A208" s="2" t="s">
        <v>300</v>
      </c>
      <c r="B208" s="2">
        <v>2</v>
      </c>
      <c r="C208" s="2" t="s">
        <v>11</v>
      </c>
      <c r="D208" s="2" t="s">
        <v>12</v>
      </c>
      <c r="E208" s="2" t="s">
        <v>24</v>
      </c>
      <c r="F208" s="2" t="s">
        <v>44</v>
      </c>
      <c r="G208" s="3" t="s">
        <v>67</v>
      </c>
      <c r="H208" s="4">
        <v>79600</v>
      </c>
      <c r="I208" s="2" t="s">
        <v>27</v>
      </c>
      <c r="J208" s="2"/>
      <c r="K208" s="22">
        <f t="shared" si="3"/>
        <v>0</v>
      </c>
    </row>
    <row r="209" spans="1:11" x14ac:dyDescent="0.45">
      <c r="A209" s="5" t="s">
        <v>301</v>
      </c>
      <c r="B209" s="5">
        <v>5</v>
      </c>
      <c r="C209" s="5" t="s">
        <v>22</v>
      </c>
      <c r="D209" s="5" t="s">
        <v>23</v>
      </c>
      <c r="E209" s="5" t="s">
        <v>13</v>
      </c>
      <c r="F209" s="5" t="s">
        <v>50</v>
      </c>
      <c r="G209" s="6" t="s">
        <v>51</v>
      </c>
      <c r="H209" s="7">
        <v>8000</v>
      </c>
      <c r="I209" s="5" t="s">
        <v>16</v>
      </c>
      <c r="J209" s="5"/>
      <c r="K209" s="22">
        <f t="shared" si="3"/>
        <v>0</v>
      </c>
    </row>
    <row r="210" spans="1:11" x14ac:dyDescent="0.45">
      <c r="A210" s="2" t="s">
        <v>302</v>
      </c>
      <c r="B210" s="2">
        <v>7</v>
      </c>
      <c r="C210" s="2" t="s">
        <v>56</v>
      </c>
      <c r="D210" s="2" t="s">
        <v>41</v>
      </c>
      <c r="E210" s="2" t="s">
        <v>19</v>
      </c>
      <c r="F210" s="2" t="s">
        <v>63</v>
      </c>
      <c r="G210" s="3" t="s">
        <v>64</v>
      </c>
      <c r="H210" s="4">
        <v>11100</v>
      </c>
      <c r="I210" s="2" t="s">
        <v>20</v>
      </c>
      <c r="J210" s="2"/>
      <c r="K210" s="22">
        <f t="shared" si="3"/>
        <v>0</v>
      </c>
    </row>
    <row r="211" spans="1:11" x14ac:dyDescent="0.45">
      <c r="A211" s="5" t="s">
        <v>303</v>
      </c>
      <c r="B211" s="5">
        <v>2</v>
      </c>
      <c r="C211" s="5" t="s">
        <v>11</v>
      </c>
      <c r="D211" s="5" t="s">
        <v>12</v>
      </c>
      <c r="E211" s="5" t="s">
        <v>13</v>
      </c>
      <c r="F211" s="5" t="s">
        <v>63</v>
      </c>
      <c r="G211" s="6" t="s">
        <v>69</v>
      </c>
      <c r="H211" s="7">
        <v>7800</v>
      </c>
      <c r="I211" s="5" t="s">
        <v>16</v>
      </c>
      <c r="J211" s="5"/>
      <c r="K211" s="22">
        <f t="shared" si="3"/>
        <v>0</v>
      </c>
    </row>
    <row r="212" spans="1:11" x14ac:dyDescent="0.45">
      <c r="A212" s="2" t="s">
        <v>304</v>
      </c>
      <c r="B212" s="2">
        <v>4</v>
      </c>
      <c r="C212" s="2" t="s">
        <v>47</v>
      </c>
      <c r="D212" s="2" t="s">
        <v>23</v>
      </c>
      <c r="E212" s="2" t="s">
        <v>57</v>
      </c>
      <c r="F212" s="2" t="s">
        <v>14</v>
      </c>
      <c r="G212" s="3" t="s">
        <v>15</v>
      </c>
      <c r="H212" s="4">
        <v>130400</v>
      </c>
      <c r="I212" s="2" t="s">
        <v>58</v>
      </c>
      <c r="J212" s="2"/>
      <c r="K212" s="22">
        <f t="shared" si="3"/>
        <v>0</v>
      </c>
    </row>
    <row r="213" spans="1:11" x14ac:dyDescent="0.45">
      <c r="A213" s="5" t="s">
        <v>305</v>
      </c>
      <c r="B213" s="5">
        <v>1</v>
      </c>
      <c r="C213" s="5" t="s">
        <v>66</v>
      </c>
      <c r="D213" s="5" t="s">
        <v>12</v>
      </c>
      <c r="E213" s="5" t="s">
        <v>71</v>
      </c>
      <c r="F213" s="5" t="s">
        <v>63</v>
      </c>
      <c r="G213" s="6" t="s">
        <v>64</v>
      </c>
      <c r="H213" s="7">
        <v>1100</v>
      </c>
      <c r="I213" s="5" t="s">
        <v>72</v>
      </c>
      <c r="J213" s="5"/>
      <c r="K213" s="22">
        <f t="shared" si="3"/>
        <v>0</v>
      </c>
    </row>
    <row r="214" spans="1:11" x14ac:dyDescent="0.45">
      <c r="A214" s="2" t="s">
        <v>306</v>
      </c>
      <c r="B214" s="2">
        <v>7</v>
      </c>
      <c r="C214" s="2" t="s">
        <v>56</v>
      </c>
      <c r="D214" s="2" t="s">
        <v>41</v>
      </c>
      <c r="E214" s="2" t="s">
        <v>13</v>
      </c>
      <c r="F214" s="2" t="s">
        <v>50</v>
      </c>
      <c r="G214" s="3" t="s">
        <v>91</v>
      </c>
      <c r="H214" s="4">
        <v>26700</v>
      </c>
      <c r="I214" s="2" t="s">
        <v>16</v>
      </c>
      <c r="J214" s="2"/>
      <c r="K214" s="22">
        <f t="shared" si="3"/>
        <v>0</v>
      </c>
    </row>
    <row r="215" spans="1:11" x14ac:dyDescent="0.45">
      <c r="A215" s="5" t="s">
        <v>307</v>
      </c>
      <c r="B215" s="5">
        <v>10</v>
      </c>
      <c r="C215" s="5" t="s">
        <v>40</v>
      </c>
      <c r="D215" s="5" t="s">
        <v>30</v>
      </c>
      <c r="E215" s="5" t="s">
        <v>57</v>
      </c>
      <c r="F215" s="5" t="s">
        <v>14</v>
      </c>
      <c r="G215" s="6" t="s">
        <v>48</v>
      </c>
      <c r="H215" s="7">
        <v>138200</v>
      </c>
      <c r="I215" s="5" t="s">
        <v>58</v>
      </c>
      <c r="J215" s="5"/>
      <c r="K215" s="22">
        <f t="shared" si="3"/>
        <v>0</v>
      </c>
    </row>
    <row r="216" spans="1:11" x14ac:dyDescent="0.45">
      <c r="A216" s="2" t="s">
        <v>308</v>
      </c>
      <c r="B216" s="2">
        <v>12</v>
      </c>
      <c r="C216" s="2" t="s">
        <v>34</v>
      </c>
      <c r="D216" s="2" t="s">
        <v>30</v>
      </c>
      <c r="E216" s="2" t="s">
        <v>35</v>
      </c>
      <c r="F216" s="2" t="s">
        <v>105</v>
      </c>
      <c r="G216" s="3" t="s">
        <v>106</v>
      </c>
      <c r="H216" s="4">
        <v>22500</v>
      </c>
      <c r="I216" s="2" t="s">
        <v>38</v>
      </c>
      <c r="J216" s="2" t="s">
        <v>108</v>
      </c>
      <c r="K216" s="22">
        <f t="shared" si="3"/>
        <v>1</v>
      </c>
    </row>
    <row r="217" spans="1:11" x14ac:dyDescent="0.45">
      <c r="A217" s="5" t="s">
        <v>309</v>
      </c>
      <c r="B217" s="5">
        <v>1</v>
      </c>
      <c r="C217" s="5" t="s">
        <v>66</v>
      </c>
      <c r="D217" s="5" t="s">
        <v>12</v>
      </c>
      <c r="E217" s="5" t="s">
        <v>71</v>
      </c>
      <c r="F217" s="5" t="s">
        <v>88</v>
      </c>
      <c r="G217" s="6" t="s">
        <v>176</v>
      </c>
      <c r="H217" s="7">
        <v>32900</v>
      </c>
      <c r="I217" s="5" t="s">
        <v>72</v>
      </c>
      <c r="J217" s="5"/>
      <c r="K217" s="22">
        <f t="shared" si="3"/>
        <v>0</v>
      </c>
    </row>
    <row r="218" spans="1:11" x14ac:dyDescent="0.45">
      <c r="A218" s="2" t="s">
        <v>310</v>
      </c>
      <c r="B218" s="2">
        <v>5</v>
      </c>
      <c r="C218" s="2" t="s">
        <v>22</v>
      </c>
      <c r="D218" s="2" t="s">
        <v>23</v>
      </c>
      <c r="E218" s="2" t="s">
        <v>57</v>
      </c>
      <c r="F218" s="2" t="s">
        <v>63</v>
      </c>
      <c r="G218" s="3" t="s">
        <v>69</v>
      </c>
      <c r="H218" s="4">
        <v>9100</v>
      </c>
      <c r="I218" s="2" t="s">
        <v>58</v>
      </c>
      <c r="J218" s="2"/>
      <c r="K218" s="22">
        <f t="shared" si="3"/>
        <v>0</v>
      </c>
    </row>
    <row r="219" spans="1:11" x14ac:dyDescent="0.45">
      <c r="A219" s="5" t="s">
        <v>311</v>
      </c>
      <c r="B219" s="5">
        <v>2</v>
      </c>
      <c r="C219" s="5" t="s">
        <v>11</v>
      </c>
      <c r="D219" s="5" t="s">
        <v>12</v>
      </c>
      <c r="E219" s="5" t="s">
        <v>71</v>
      </c>
      <c r="F219" s="5" t="s">
        <v>88</v>
      </c>
      <c r="G219" s="6" t="s">
        <v>89</v>
      </c>
      <c r="H219" s="7">
        <v>163500</v>
      </c>
      <c r="I219" s="5" t="s">
        <v>72</v>
      </c>
      <c r="J219" s="5"/>
      <c r="K219" s="22">
        <f t="shared" si="3"/>
        <v>0</v>
      </c>
    </row>
    <row r="220" spans="1:11" x14ac:dyDescent="0.45">
      <c r="A220" s="2" t="s">
        <v>312</v>
      </c>
      <c r="B220" s="2">
        <v>4</v>
      </c>
      <c r="C220" s="2" t="s">
        <v>47</v>
      </c>
      <c r="D220" s="2" t="s">
        <v>23</v>
      </c>
      <c r="E220" s="2" t="s">
        <v>19</v>
      </c>
      <c r="F220" s="2" t="s">
        <v>53</v>
      </c>
      <c r="G220" s="3" t="s">
        <v>164</v>
      </c>
      <c r="H220" s="4">
        <v>1200</v>
      </c>
      <c r="I220" s="2" t="s">
        <v>20</v>
      </c>
      <c r="J220" s="2"/>
      <c r="K220" s="22">
        <f t="shared" si="3"/>
        <v>0</v>
      </c>
    </row>
    <row r="221" spans="1:11" x14ac:dyDescent="0.45">
      <c r="A221" s="5" t="s">
        <v>313</v>
      </c>
      <c r="B221" s="5">
        <v>11</v>
      </c>
      <c r="C221" s="5" t="s">
        <v>29</v>
      </c>
      <c r="D221" s="5" t="s">
        <v>30</v>
      </c>
      <c r="E221" s="5" t="s">
        <v>24</v>
      </c>
      <c r="F221" s="5" t="s">
        <v>44</v>
      </c>
      <c r="G221" s="6" t="s">
        <v>45</v>
      </c>
      <c r="H221" s="7">
        <v>14200</v>
      </c>
      <c r="I221" s="5" t="s">
        <v>27</v>
      </c>
      <c r="J221" s="5"/>
      <c r="K221" s="22">
        <f t="shared" si="3"/>
        <v>0</v>
      </c>
    </row>
    <row r="222" spans="1:11" x14ac:dyDescent="0.45">
      <c r="A222" s="2" t="s">
        <v>314</v>
      </c>
      <c r="B222" s="2">
        <v>1</v>
      </c>
      <c r="C222" s="2" t="s">
        <v>66</v>
      </c>
      <c r="D222" s="2" t="s">
        <v>12</v>
      </c>
      <c r="E222" s="2" t="s">
        <v>19</v>
      </c>
      <c r="F222" s="2" t="s">
        <v>63</v>
      </c>
      <c r="G222" s="3" t="s">
        <v>97</v>
      </c>
      <c r="H222" s="4">
        <v>11300</v>
      </c>
      <c r="I222" s="2" t="s">
        <v>20</v>
      </c>
      <c r="J222" s="2"/>
      <c r="K222" s="22">
        <f t="shared" si="3"/>
        <v>0</v>
      </c>
    </row>
    <row r="223" spans="1:11" x14ac:dyDescent="0.45">
      <c r="A223" s="5" t="s">
        <v>315</v>
      </c>
      <c r="B223" s="5">
        <v>10</v>
      </c>
      <c r="C223" s="5" t="s">
        <v>40</v>
      </c>
      <c r="D223" s="5" t="s">
        <v>30</v>
      </c>
      <c r="E223" s="5" t="s">
        <v>57</v>
      </c>
      <c r="F223" s="5" t="s">
        <v>63</v>
      </c>
      <c r="G223" s="6" t="s">
        <v>64</v>
      </c>
      <c r="H223" s="7">
        <v>7200</v>
      </c>
      <c r="I223" s="5" t="s">
        <v>58</v>
      </c>
      <c r="J223" s="5"/>
      <c r="K223" s="22">
        <f t="shared" si="3"/>
        <v>0</v>
      </c>
    </row>
    <row r="224" spans="1:11" x14ac:dyDescent="0.45">
      <c r="A224" s="2" t="s">
        <v>316</v>
      </c>
      <c r="B224" s="2">
        <v>12</v>
      </c>
      <c r="C224" s="2" t="s">
        <v>34</v>
      </c>
      <c r="D224" s="2" t="s">
        <v>30</v>
      </c>
      <c r="E224" s="2" t="s">
        <v>19</v>
      </c>
      <c r="F224" s="2" t="s">
        <v>31</v>
      </c>
      <c r="G224" s="3" t="s">
        <v>32</v>
      </c>
      <c r="H224" s="4">
        <v>7100</v>
      </c>
      <c r="I224" s="2" t="s">
        <v>20</v>
      </c>
      <c r="J224" s="2"/>
      <c r="K224" s="22">
        <f t="shared" si="3"/>
        <v>0</v>
      </c>
    </row>
    <row r="225" spans="1:11" x14ac:dyDescent="0.45">
      <c r="A225" s="5" t="s">
        <v>317</v>
      </c>
      <c r="B225" s="5">
        <v>10</v>
      </c>
      <c r="C225" s="5" t="s">
        <v>40</v>
      </c>
      <c r="D225" s="5" t="s">
        <v>30</v>
      </c>
      <c r="E225" s="5" t="s">
        <v>35</v>
      </c>
      <c r="F225" s="5" t="s">
        <v>14</v>
      </c>
      <c r="G225" s="6" t="s">
        <v>15</v>
      </c>
      <c r="H225" s="7">
        <v>14100</v>
      </c>
      <c r="I225" s="5" t="s">
        <v>38</v>
      </c>
      <c r="J225" s="5"/>
      <c r="K225" s="22">
        <f t="shared" si="3"/>
        <v>0</v>
      </c>
    </row>
    <row r="226" spans="1:11" x14ac:dyDescent="0.45">
      <c r="A226" s="2" t="s">
        <v>318</v>
      </c>
      <c r="B226" s="2">
        <v>12</v>
      </c>
      <c r="C226" s="2" t="s">
        <v>34</v>
      </c>
      <c r="D226" s="2" t="s">
        <v>30</v>
      </c>
      <c r="E226" s="2" t="s">
        <v>35</v>
      </c>
      <c r="F226" s="2" t="s">
        <v>36</v>
      </c>
      <c r="G226" s="3" t="s">
        <v>37</v>
      </c>
      <c r="H226" s="4">
        <v>7600</v>
      </c>
      <c r="I226" s="2" t="s">
        <v>38</v>
      </c>
      <c r="J226" s="2"/>
      <c r="K226" s="22">
        <f t="shared" si="3"/>
        <v>0</v>
      </c>
    </row>
    <row r="227" spans="1:11" x14ac:dyDescent="0.45">
      <c r="A227" s="5" t="s">
        <v>319</v>
      </c>
      <c r="B227" s="5">
        <v>11</v>
      </c>
      <c r="C227" s="5" t="s">
        <v>29</v>
      </c>
      <c r="D227" s="5" t="s">
        <v>30</v>
      </c>
      <c r="E227" s="5" t="s">
        <v>57</v>
      </c>
      <c r="F227" s="5" t="s">
        <v>14</v>
      </c>
      <c r="G227" s="6" t="s">
        <v>42</v>
      </c>
      <c r="H227" s="7">
        <v>100300</v>
      </c>
      <c r="I227" s="5" t="s">
        <v>58</v>
      </c>
      <c r="J227" s="5"/>
      <c r="K227" s="22">
        <f t="shared" si="3"/>
        <v>0</v>
      </c>
    </row>
    <row r="228" spans="1:11" x14ac:dyDescent="0.45">
      <c r="A228" s="2" t="s">
        <v>320</v>
      </c>
      <c r="B228" s="2">
        <v>2</v>
      </c>
      <c r="C228" s="2" t="s">
        <v>11</v>
      </c>
      <c r="D228" s="2" t="s">
        <v>12</v>
      </c>
      <c r="E228" s="2" t="s">
        <v>35</v>
      </c>
      <c r="F228" s="2" t="s">
        <v>75</v>
      </c>
      <c r="G228" s="3" t="s">
        <v>179</v>
      </c>
      <c r="H228" s="4">
        <v>4000</v>
      </c>
      <c r="I228" s="2" t="s">
        <v>38</v>
      </c>
      <c r="J228" s="2"/>
      <c r="K228" s="22">
        <f t="shared" si="3"/>
        <v>0</v>
      </c>
    </row>
    <row r="229" spans="1:11" x14ac:dyDescent="0.45">
      <c r="A229" s="5" t="s">
        <v>321</v>
      </c>
      <c r="B229" s="5">
        <v>4</v>
      </c>
      <c r="C229" s="5" t="s">
        <v>47</v>
      </c>
      <c r="D229" s="5" t="s">
        <v>23</v>
      </c>
      <c r="E229" s="5" t="s">
        <v>13</v>
      </c>
      <c r="F229" s="5" t="s">
        <v>63</v>
      </c>
      <c r="G229" s="6" t="s">
        <v>97</v>
      </c>
      <c r="H229" s="7">
        <v>2500</v>
      </c>
      <c r="I229" s="5" t="s">
        <v>16</v>
      </c>
      <c r="J229" s="5"/>
      <c r="K229" s="22">
        <f t="shared" si="3"/>
        <v>0</v>
      </c>
    </row>
    <row r="230" spans="1:11" x14ac:dyDescent="0.45">
      <c r="A230" s="2" t="s">
        <v>322</v>
      </c>
      <c r="B230" s="2">
        <v>10</v>
      </c>
      <c r="C230" s="2" t="s">
        <v>40</v>
      </c>
      <c r="D230" s="2" t="s">
        <v>30</v>
      </c>
      <c r="E230" s="2" t="s">
        <v>24</v>
      </c>
      <c r="F230" s="2" t="s">
        <v>36</v>
      </c>
      <c r="G230" s="3" t="s">
        <v>37</v>
      </c>
      <c r="H230" s="4">
        <v>43400</v>
      </c>
      <c r="I230" s="2" t="s">
        <v>27</v>
      </c>
      <c r="J230" s="2"/>
      <c r="K230" s="22">
        <f t="shared" si="3"/>
        <v>0</v>
      </c>
    </row>
    <row r="231" spans="1:11" x14ac:dyDescent="0.45">
      <c r="A231" s="5" t="s">
        <v>323</v>
      </c>
      <c r="B231" s="5">
        <v>10</v>
      </c>
      <c r="C231" s="5" t="s">
        <v>40</v>
      </c>
      <c r="D231" s="5" t="s">
        <v>30</v>
      </c>
      <c r="E231" s="5" t="s">
        <v>71</v>
      </c>
      <c r="F231" s="5" t="s">
        <v>88</v>
      </c>
      <c r="G231" s="6" t="s">
        <v>258</v>
      </c>
      <c r="H231" s="7">
        <v>74300</v>
      </c>
      <c r="I231" s="5" t="s">
        <v>72</v>
      </c>
      <c r="J231" s="5" t="s">
        <v>108</v>
      </c>
      <c r="K231" s="22">
        <f t="shared" si="3"/>
        <v>1</v>
      </c>
    </row>
    <row r="232" spans="1:11" x14ac:dyDescent="0.45">
      <c r="A232" s="2" t="s">
        <v>324</v>
      </c>
      <c r="B232" s="2">
        <v>4</v>
      </c>
      <c r="C232" s="2" t="s">
        <v>47</v>
      </c>
      <c r="D232" s="2" t="s">
        <v>23</v>
      </c>
      <c r="E232" s="2" t="s">
        <v>19</v>
      </c>
      <c r="F232" s="2" t="s">
        <v>14</v>
      </c>
      <c r="G232" s="3" t="s">
        <v>48</v>
      </c>
      <c r="H232" s="4">
        <v>164900</v>
      </c>
      <c r="I232" s="2" t="s">
        <v>20</v>
      </c>
      <c r="J232" s="2"/>
      <c r="K232" s="22">
        <f t="shared" si="3"/>
        <v>0</v>
      </c>
    </row>
    <row r="233" spans="1:11" x14ac:dyDescent="0.45">
      <c r="A233" s="5" t="s">
        <v>325</v>
      </c>
      <c r="B233" s="5">
        <v>6</v>
      </c>
      <c r="C233" s="5" t="s">
        <v>78</v>
      </c>
      <c r="D233" s="5" t="s">
        <v>23</v>
      </c>
      <c r="E233" s="5" t="s">
        <v>24</v>
      </c>
      <c r="F233" s="5" t="s">
        <v>14</v>
      </c>
      <c r="G233" s="6" t="s">
        <v>42</v>
      </c>
      <c r="H233" s="7">
        <v>240600</v>
      </c>
      <c r="I233" s="5" t="s">
        <v>27</v>
      </c>
      <c r="J233" s="5"/>
      <c r="K233" s="22">
        <f t="shared" si="3"/>
        <v>0</v>
      </c>
    </row>
    <row r="234" spans="1:11" x14ac:dyDescent="0.45">
      <c r="A234" s="2" t="s">
        <v>326</v>
      </c>
      <c r="B234" s="2">
        <v>12</v>
      </c>
      <c r="C234" s="2" t="s">
        <v>34</v>
      </c>
      <c r="D234" s="2" t="s">
        <v>30</v>
      </c>
      <c r="E234" s="2" t="s">
        <v>57</v>
      </c>
      <c r="F234" s="2" t="s">
        <v>63</v>
      </c>
      <c r="G234" s="3" t="s">
        <v>97</v>
      </c>
      <c r="H234" s="4">
        <v>700</v>
      </c>
      <c r="I234" s="2" t="s">
        <v>58</v>
      </c>
      <c r="J234" s="2"/>
      <c r="K234" s="22">
        <f t="shared" si="3"/>
        <v>0</v>
      </c>
    </row>
    <row r="235" spans="1:11" x14ac:dyDescent="0.45">
      <c r="A235" s="5" t="s">
        <v>327</v>
      </c>
      <c r="B235" s="5">
        <v>5</v>
      </c>
      <c r="C235" s="5" t="s">
        <v>22</v>
      </c>
      <c r="D235" s="5" t="s">
        <v>23</v>
      </c>
      <c r="E235" s="5" t="s">
        <v>24</v>
      </c>
      <c r="F235" s="5" t="s">
        <v>14</v>
      </c>
      <c r="G235" s="6" t="s">
        <v>42</v>
      </c>
      <c r="H235" s="7">
        <v>154200</v>
      </c>
      <c r="I235" s="5" t="s">
        <v>27</v>
      </c>
      <c r="J235" s="5"/>
      <c r="K235" s="22">
        <f t="shared" si="3"/>
        <v>0</v>
      </c>
    </row>
    <row r="236" spans="1:11" x14ac:dyDescent="0.45">
      <c r="A236" s="2" t="s">
        <v>328</v>
      </c>
      <c r="B236" s="2">
        <v>10</v>
      </c>
      <c r="C236" s="2" t="s">
        <v>40</v>
      </c>
      <c r="D236" s="2" t="s">
        <v>30</v>
      </c>
      <c r="E236" s="2" t="s">
        <v>71</v>
      </c>
      <c r="F236" s="2" t="s">
        <v>94</v>
      </c>
      <c r="G236" s="3" t="s">
        <v>138</v>
      </c>
      <c r="H236" s="4">
        <v>13500</v>
      </c>
      <c r="I236" s="2" t="s">
        <v>72</v>
      </c>
      <c r="J236" s="2"/>
      <c r="K236" s="22">
        <f t="shared" si="3"/>
        <v>0</v>
      </c>
    </row>
    <row r="237" spans="1:11" x14ac:dyDescent="0.45">
      <c r="A237" s="5" t="s">
        <v>329</v>
      </c>
      <c r="B237" s="5">
        <v>11</v>
      </c>
      <c r="C237" s="5" t="s">
        <v>29</v>
      </c>
      <c r="D237" s="5" t="s">
        <v>30</v>
      </c>
      <c r="E237" s="5" t="s">
        <v>57</v>
      </c>
      <c r="F237" s="5" t="s">
        <v>85</v>
      </c>
      <c r="G237" s="6" t="s">
        <v>159</v>
      </c>
      <c r="H237" s="7">
        <v>25500</v>
      </c>
      <c r="I237" s="5" t="s">
        <v>58</v>
      </c>
      <c r="J237" s="5"/>
      <c r="K237" s="22">
        <f t="shared" si="3"/>
        <v>0</v>
      </c>
    </row>
    <row r="238" spans="1:11" x14ac:dyDescent="0.45">
      <c r="A238" s="2" t="s">
        <v>330</v>
      </c>
      <c r="B238" s="2">
        <v>12</v>
      </c>
      <c r="C238" s="2" t="s">
        <v>34</v>
      </c>
      <c r="D238" s="2" t="s">
        <v>30</v>
      </c>
      <c r="E238" s="2" t="s">
        <v>19</v>
      </c>
      <c r="F238" s="2" t="s">
        <v>31</v>
      </c>
      <c r="G238" s="3" t="s">
        <v>79</v>
      </c>
      <c r="H238" s="4">
        <v>7400</v>
      </c>
      <c r="I238" s="2" t="s">
        <v>20</v>
      </c>
      <c r="J238" s="2"/>
      <c r="K238" s="22">
        <f t="shared" si="3"/>
        <v>0</v>
      </c>
    </row>
    <row r="239" spans="1:11" x14ac:dyDescent="0.45">
      <c r="A239" s="5" t="s">
        <v>331</v>
      </c>
      <c r="B239" s="5">
        <v>10</v>
      </c>
      <c r="C239" s="5" t="s">
        <v>40</v>
      </c>
      <c r="D239" s="5" t="s">
        <v>30</v>
      </c>
      <c r="E239" s="5" t="s">
        <v>57</v>
      </c>
      <c r="F239" s="5" t="s">
        <v>63</v>
      </c>
      <c r="G239" s="6" t="s">
        <v>69</v>
      </c>
      <c r="H239" s="7">
        <v>11600</v>
      </c>
      <c r="I239" s="5" t="s">
        <v>58</v>
      </c>
      <c r="J239" s="5"/>
      <c r="K239" s="22">
        <f t="shared" si="3"/>
        <v>0</v>
      </c>
    </row>
    <row r="240" spans="1:11" x14ac:dyDescent="0.45">
      <c r="A240" s="2" t="s">
        <v>332</v>
      </c>
      <c r="B240" s="2">
        <v>7</v>
      </c>
      <c r="C240" s="2" t="s">
        <v>56</v>
      </c>
      <c r="D240" s="2" t="s">
        <v>41</v>
      </c>
      <c r="E240" s="2" t="s">
        <v>24</v>
      </c>
      <c r="F240" s="2" t="s">
        <v>36</v>
      </c>
      <c r="G240" s="3" t="s">
        <v>37</v>
      </c>
      <c r="H240" s="4">
        <v>65500</v>
      </c>
      <c r="I240" s="2" t="s">
        <v>27</v>
      </c>
      <c r="J240" s="2"/>
      <c r="K240" s="22">
        <f t="shared" si="3"/>
        <v>0</v>
      </c>
    </row>
    <row r="241" spans="1:11" x14ac:dyDescent="0.45">
      <c r="A241" s="5" t="s">
        <v>333</v>
      </c>
      <c r="B241" s="5">
        <v>1</v>
      </c>
      <c r="C241" s="5" t="s">
        <v>66</v>
      </c>
      <c r="D241" s="5" t="s">
        <v>12</v>
      </c>
      <c r="E241" s="5" t="s">
        <v>57</v>
      </c>
      <c r="F241" s="5" t="s">
        <v>85</v>
      </c>
      <c r="G241" s="6" t="s">
        <v>129</v>
      </c>
      <c r="H241" s="7">
        <v>1700</v>
      </c>
      <c r="I241" s="5" t="s">
        <v>58</v>
      </c>
      <c r="J241" s="5"/>
      <c r="K241" s="22">
        <f t="shared" si="3"/>
        <v>0</v>
      </c>
    </row>
    <row r="242" spans="1:11" x14ac:dyDescent="0.45">
      <c r="A242" s="2" t="s">
        <v>334</v>
      </c>
      <c r="B242" s="2">
        <v>5</v>
      </c>
      <c r="C242" s="2" t="s">
        <v>22</v>
      </c>
      <c r="D242" s="2" t="s">
        <v>23</v>
      </c>
      <c r="E242" s="2" t="s">
        <v>24</v>
      </c>
      <c r="F242" s="2" t="s">
        <v>14</v>
      </c>
      <c r="G242" s="3" t="s">
        <v>42</v>
      </c>
      <c r="H242" s="4">
        <v>344100</v>
      </c>
      <c r="I242" s="2" t="s">
        <v>27</v>
      </c>
      <c r="J242" s="2"/>
      <c r="K242" s="22">
        <f t="shared" si="3"/>
        <v>0</v>
      </c>
    </row>
    <row r="243" spans="1:11" x14ac:dyDescent="0.45">
      <c r="A243" s="5" t="s">
        <v>335</v>
      </c>
      <c r="B243" s="5">
        <v>10</v>
      </c>
      <c r="C243" s="5" t="s">
        <v>40</v>
      </c>
      <c r="D243" s="5" t="s">
        <v>30</v>
      </c>
      <c r="E243" s="5" t="s">
        <v>24</v>
      </c>
      <c r="F243" s="5" t="s">
        <v>14</v>
      </c>
      <c r="G243" s="6" t="s">
        <v>48</v>
      </c>
      <c r="H243" s="7">
        <v>152700</v>
      </c>
      <c r="I243" s="5" t="s">
        <v>27</v>
      </c>
      <c r="J243" s="5"/>
      <c r="K243" s="22">
        <f t="shared" si="3"/>
        <v>0</v>
      </c>
    </row>
    <row r="244" spans="1:11" x14ac:dyDescent="0.45">
      <c r="A244" s="2" t="s">
        <v>336</v>
      </c>
      <c r="B244" s="2">
        <v>10</v>
      </c>
      <c r="C244" s="2" t="s">
        <v>40</v>
      </c>
      <c r="D244" s="2" t="s">
        <v>30</v>
      </c>
      <c r="E244" s="2" t="s">
        <v>71</v>
      </c>
      <c r="F244" s="2" t="s">
        <v>94</v>
      </c>
      <c r="G244" s="3" t="s">
        <v>95</v>
      </c>
      <c r="H244" s="4">
        <v>13300</v>
      </c>
      <c r="I244" s="2" t="s">
        <v>72</v>
      </c>
      <c r="J244" s="2"/>
      <c r="K244" s="22">
        <f t="shared" si="3"/>
        <v>0</v>
      </c>
    </row>
    <row r="245" spans="1:11" x14ac:dyDescent="0.45">
      <c r="A245" s="5" t="s">
        <v>337</v>
      </c>
      <c r="B245" s="5">
        <v>11</v>
      </c>
      <c r="C245" s="5" t="s">
        <v>29</v>
      </c>
      <c r="D245" s="5" t="s">
        <v>30</v>
      </c>
      <c r="E245" s="5" t="s">
        <v>24</v>
      </c>
      <c r="F245" s="5" t="s">
        <v>36</v>
      </c>
      <c r="G245" s="6" t="s">
        <v>111</v>
      </c>
      <c r="H245" s="7">
        <v>36900</v>
      </c>
      <c r="I245" s="5" t="s">
        <v>27</v>
      </c>
      <c r="J245" s="5"/>
      <c r="K245" s="22">
        <f t="shared" si="3"/>
        <v>0</v>
      </c>
    </row>
    <row r="246" spans="1:11" x14ac:dyDescent="0.45">
      <c r="A246" s="2" t="s">
        <v>338</v>
      </c>
      <c r="B246" s="2">
        <v>8</v>
      </c>
      <c r="C246" s="2" t="s">
        <v>60</v>
      </c>
      <c r="D246" s="2" t="s">
        <v>41</v>
      </c>
      <c r="E246" s="2" t="s">
        <v>13</v>
      </c>
      <c r="F246" s="2" t="s">
        <v>14</v>
      </c>
      <c r="G246" s="3" t="s">
        <v>42</v>
      </c>
      <c r="H246" s="4">
        <v>72400</v>
      </c>
      <c r="I246" s="2" t="s">
        <v>16</v>
      </c>
      <c r="J246" s="2"/>
      <c r="K246" s="22">
        <f t="shared" si="3"/>
        <v>0</v>
      </c>
    </row>
    <row r="247" spans="1:11" x14ac:dyDescent="0.45">
      <c r="A247" s="5" t="s">
        <v>339</v>
      </c>
      <c r="B247" s="5">
        <v>4</v>
      </c>
      <c r="C247" s="5" t="s">
        <v>47</v>
      </c>
      <c r="D247" s="5" t="s">
        <v>23</v>
      </c>
      <c r="E247" s="5" t="s">
        <v>13</v>
      </c>
      <c r="F247" s="5" t="s">
        <v>50</v>
      </c>
      <c r="G247" s="6" t="s">
        <v>91</v>
      </c>
      <c r="H247" s="7">
        <v>19100</v>
      </c>
      <c r="I247" s="5" t="s">
        <v>16</v>
      </c>
      <c r="J247" s="5"/>
      <c r="K247" s="22">
        <f t="shared" si="3"/>
        <v>0</v>
      </c>
    </row>
    <row r="248" spans="1:11" x14ac:dyDescent="0.45">
      <c r="A248" s="2" t="s">
        <v>340</v>
      </c>
      <c r="B248" s="2">
        <v>5</v>
      </c>
      <c r="C248" s="2" t="s">
        <v>22</v>
      </c>
      <c r="D248" s="2" t="s">
        <v>23</v>
      </c>
      <c r="E248" s="2" t="s">
        <v>24</v>
      </c>
      <c r="F248" s="2" t="s">
        <v>44</v>
      </c>
      <c r="G248" s="3" t="s">
        <v>45</v>
      </c>
      <c r="H248" s="4">
        <v>37800</v>
      </c>
      <c r="I248" s="2" t="s">
        <v>27</v>
      </c>
      <c r="J248" s="2"/>
      <c r="K248" s="22">
        <f t="shared" si="3"/>
        <v>0</v>
      </c>
    </row>
    <row r="249" spans="1:11" x14ac:dyDescent="0.45">
      <c r="A249" s="5" t="s">
        <v>341</v>
      </c>
      <c r="B249" s="5">
        <v>12</v>
      </c>
      <c r="C249" s="5" t="s">
        <v>34</v>
      </c>
      <c r="D249" s="5" t="s">
        <v>30</v>
      </c>
      <c r="E249" s="5" t="s">
        <v>71</v>
      </c>
      <c r="F249" s="5" t="s">
        <v>14</v>
      </c>
      <c r="G249" s="6" t="s">
        <v>42</v>
      </c>
      <c r="H249" s="7">
        <v>18000</v>
      </c>
      <c r="I249" s="5" t="s">
        <v>72</v>
      </c>
      <c r="J249" s="5"/>
      <c r="K249" s="22">
        <f t="shared" si="3"/>
        <v>0</v>
      </c>
    </row>
    <row r="250" spans="1:11" x14ac:dyDescent="0.45">
      <c r="A250" s="2" t="s">
        <v>342</v>
      </c>
      <c r="B250" s="2">
        <v>3</v>
      </c>
      <c r="C250" s="2" t="s">
        <v>18</v>
      </c>
      <c r="D250" s="2" t="s">
        <v>12</v>
      </c>
      <c r="E250" s="2" t="s">
        <v>13</v>
      </c>
      <c r="F250" s="2" t="s">
        <v>14</v>
      </c>
      <c r="G250" s="3" t="s">
        <v>42</v>
      </c>
      <c r="H250" s="4">
        <v>124500</v>
      </c>
      <c r="I250" s="2" t="s">
        <v>16</v>
      </c>
      <c r="J250" s="2"/>
      <c r="K250" s="22">
        <f t="shared" si="3"/>
        <v>0</v>
      </c>
    </row>
    <row r="251" spans="1:11" x14ac:dyDescent="0.45">
      <c r="A251" s="5" t="s">
        <v>343</v>
      </c>
      <c r="B251" s="5">
        <v>1</v>
      </c>
      <c r="C251" s="5" t="s">
        <v>66</v>
      </c>
      <c r="D251" s="5" t="s">
        <v>12</v>
      </c>
      <c r="E251" s="5" t="s">
        <v>13</v>
      </c>
      <c r="F251" s="5" t="s">
        <v>50</v>
      </c>
      <c r="G251" s="6" t="s">
        <v>51</v>
      </c>
      <c r="H251" s="7">
        <v>16400</v>
      </c>
      <c r="I251" s="5" t="s">
        <v>16</v>
      </c>
      <c r="J251" s="5"/>
      <c r="K251" s="22">
        <f t="shared" si="3"/>
        <v>0</v>
      </c>
    </row>
    <row r="252" spans="1:11" x14ac:dyDescent="0.45">
      <c r="A252" s="2" t="s">
        <v>344</v>
      </c>
      <c r="B252" s="2">
        <v>2</v>
      </c>
      <c r="C252" s="2" t="s">
        <v>11</v>
      </c>
      <c r="D252" s="2" t="s">
        <v>12</v>
      </c>
      <c r="E252" s="2" t="s">
        <v>24</v>
      </c>
      <c r="F252" s="2" t="s">
        <v>14</v>
      </c>
      <c r="G252" s="3" t="s">
        <v>15</v>
      </c>
      <c r="H252" s="4">
        <v>33100</v>
      </c>
      <c r="I252" s="2" t="s">
        <v>27</v>
      </c>
      <c r="J252" s="2"/>
      <c r="K252" s="22">
        <f t="shared" si="3"/>
        <v>0</v>
      </c>
    </row>
    <row r="253" spans="1:11" x14ac:dyDescent="0.45">
      <c r="A253" s="5" t="s">
        <v>345</v>
      </c>
      <c r="B253" s="5">
        <v>2</v>
      </c>
      <c r="C253" s="5" t="s">
        <v>11</v>
      </c>
      <c r="D253" s="5" t="s">
        <v>12</v>
      </c>
      <c r="E253" s="5" t="s">
        <v>19</v>
      </c>
      <c r="F253" s="5" t="s">
        <v>63</v>
      </c>
      <c r="G253" s="6" t="s">
        <v>97</v>
      </c>
      <c r="H253" s="7">
        <v>14100</v>
      </c>
      <c r="I253" s="5" t="s">
        <v>20</v>
      </c>
      <c r="J253" s="5"/>
      <c r="K253" s="22">
        <f t="shared" si="3"/>
        <v>0</v>
      </c>
    </row>
    <row r="254" spans="1:11" x14ac:dyDescent="0.45">
      <c r="A254" s="2" t="s">
        <v>346</v>
      </c>
      <c r="B254" s="2">
        <v>2</v>
      </c>
      <c r="C254" s="2" t="s">
        <v>11</v>
      </c>
      <c r="D254" s="2" t="s">
        <v>12</v>
      </c>
      <c r="E254" s="2" t="s">
        <v>35</v>
      </c>
      <c r="F254" s="2" t="s">
        <v>75</v>
      </c>
      <c r="G254" s="3" t="s">
        <v>179</v>
      </c>
      <c r="H254" s="4">
        <v>200</v>
      </c>
      <c r="I254" s="2" t="s">
        <v>38</v>
      </c>
      <c r="J254" s="2"/>
      <c r="K254" s="22">
        <f t="shared" si="3"/>
        <v>0</v>
      </c>
    </row>
    <row r="255" spans="1:11" x14ac:dyDescent="0.45">
      <c r="A255" s="5" t="s">
        <v>347</v>
      </c>
      <c r="B255" s="5">
        <v>1</v>
      </c>
      <c r="C255" s="5" t="s">
        <v>66</v>
      </c>
      <c r="D255" s="5" t="s">
        <v>12</v>
      </c>
      <c r="E255" s="5" t="s">
        <v>35</v>
      </c>
      <c r="F255" s="5" t="s">
        <v>75</v>
      </c>
      <c r="G255" s="6" t="s">
        <v>179</v>
      </c>
      <c r="H255" s="7">
        <v>3900</v>
      </c>
      <c r="I255" s="5" t="s">
        <v>38</v>
      </c>
      <c r="J255" s="5"/>
      <c r="K255" s="22">
        <f t="shared" si="3"/>
        <v>0</v>
      </c>
    </row>
    <row r="256" spans="1:11" x14ac:dyDescent="0.45">
      <c r="A256" s="2" t="s">
        <v>348</v>
      </c>
      <c r="B256" s="2">
        <v>1</v>
      </c>
      <c r="C256" s="2" t="s">
        <v>66</v>
      </c>
      <c r="D256" s="2" t="s">
        <v>12</v>
      </c>
      <c r="E256" s="2" t="s">
        <v>57</v>
      </c>
      <c r="F256" s="2" t="s">
        <v>75</v>
      </c>
      <c r="G256" s="3" t="s">
        <v>83</v>
      </c>
      <c r="H256" s="4">
        <v>21100</v>
      </c>
      <c r="I256" s="2" t="s">
        <v>58</v>
      </c>
      <c r="J256" s="2"/>
      <c r="K256" s="22">
        <f t="shared" si="3"/>
        <v>0</v>
      </c>
    </row>
    <row r="257" spans="1:11" x14ac:dyDescent="0.45">
      <c r="A257" s="5" t="s">
        <v>349</v>
      </c>
      <c r="B257" s="5">
        <v>2</v>
      </c>
      <c r="C257" s="5" t="s">
        <v>11</v>
      </c>
      <c r="D257" s="5" t="s">
        <v>12</v>
      </c>
      <c r="E257" s="5" t="s">
        <v>57</v>
      </c>
      <c r="F257" s="5" t="s">
        <v>75</v>
      </c>
      <c r="G257" s="6" t="s">
        <v>83</v>
      </c>
      <c r="H257" s="7">
        <v>10500</v>
      </c>
      <c r="I257" s="5" t="s">
        <v>58</v>
      </c>
      <c r="J257" s="5"/>
      <c r="K257" s="22">
        <f t="shared" si="3"/>
        <v>0</v>
      </c>
    </row>
    <row r="258" spans="1:11" x14ac:dyDescent="0.45">
      <c r="A258" s="2" t="s">
        <v>350</v>
      </c>
      <c r="B258" s="2">
        <v>7</v>
      </c>
      <c r="C258" s="2" t="s">
        <v>56</v>
      </c>
      <c r="D258" s="2" t="s">
        <v>41</v>
      </c>
      <c r="E258" s="2" t="s">
        <v>24</v>
      </c>
      <c r="F258" s="2" t="s">
        <v>25</v>
      </c>
      <c r="G258" s="3" t="s">
        <v>212</v>
      </c>
      <c r="H258" s="4">
        <v>14300</v>
      </c>
      <c r="I258" s="2" t="s">
        <v>27</v>
      </c>
      <c r="J258" s="2"/>
      <c r="K258" s="22">
        <f t="shared" si="3"/>
        <v>0</v>
      </c>
    </row>
    <row r="259" spans="1:11" x14ac:dyDescent="0.45">
      <c r="A259" s="5" t="s">
        <v>351</v>
      </c>
      <c r="B259" s="5">
        <v>2</v>
      </c>
      <c r="C259" s="5" t="s">
        <v>11</v>
      </c>
      <c r="D259" s="5" t="s">
        <v>12</v>
      </c>
      <c r="E259" s="5" t="s">
        <v>35</v>
      </c>
      <c r="F259" s="5" t="s">
        <v>14</v>
      </c>
      <c r="G259" s="6" t="s">
        <v>15</v>
      </c>
      <c r="H259" s="7">
        <v>26600</v>
      </c>
      <c r="I259" s="5" t="s">
        <v>38</v>
      </c>
      <c r="J259" s="5"/>
      <c r="K259" s="22">
        <f t="shared" ref="K259:K322" si="4">IF(J259=$N$2,0,IF(J259=$N$3,1,IF(J259=$N$4,2)))</f>
        <v>0</v>
      </c>
    </row>
    <row r="260" spans="1:11" x14ac:dyDescent="0.45">
      <c r="A260" s="2" t="s">
        <v>352</v>
      </c>
      <c r="B260" s="2">
        <v>1</v>
      </c>
      <c r="C260" s="2" t="s">
        <v>66</v>
      </c>
      <c r="D260" s="2" t="s">
        <v>12</v>
      </c>
      <c r="E260" s="2" t="s">
        <v>71</v>
      </c>
      <c r="F260" s="2" t="s">
        <v>94</v>
      </c>
      <c r="G260" s="3" t="s">
        <v>138</v>
      </c>
      <c r="H260" s="4">
        <v>1500</v>
      </c>
      <c r="I260" s="2" t="s">
        <v>72</v>
      </c>
      <c r="J260" s="2"/>
      <c r="K260" s="22">
        <f t="shared" si="4"/>
        <v>0</v>
      </c>
    </row>
    <row r="261" spans="1:11" x14ac:dyDescent="0.45">
      <c r="A261" s="5" t="s">
        <v>353</v>
      </c>
      <c r="B261" s="5">
        <v>11</v>
      </c>
      <c r="C261" s="5" t="s">
        <v>29</v>
      </c>
      <c r="D261" s="5" t="s">
        <v>30</v>
      </c>
      <c r="E261" s="5" t="s">
        <v>35</v>
      </c>
      <c r="F261" s="5" t="s">
        <v>75</v>
      </c>
      <c r="G261" s="6" t="s">
        <v>76</v>
      </c>
      <c r="H261" s="7">
        <v>5500</v>
      </c>
      <c r="I261" s="5" t="s">
        <v>38</v>
      </c>
      <c r="J261" s="5"/>
      <c r="K261" s="22">
        <f t="shared" si="4"/>
        <v>0</v>
      </c>
    </row>
    <row r="262" spans="1:11" x14ac:dyDescent="0.45">
      <c r="A262" s="2" t="s">
        <v>354</v>
      </c>
      <c r="B262" s="2">
        <v>12</v>
      </c>
      <c r="C262" s="2" t="s">
        <v>34</v>
      </c>
      <c r="D262" s="2" t="s">
        <v>30</v>
      </c>
      <c r="E262" s="2" t="s">
        <v>57</v>
      </c>
      <c r="F262" s="2" t="s">
        <v>75</v>
      </c>
      <c r="G262" s="3" t="s">
        <v>76</v>
      </c>
      <c r="H262" s="4">
        <v>6900</v>
      </c>
      <c r="I262" s="2" t="s">
        <v>58</v>
      </c>
      <c r="J262" s="2"/>
      <c r="K262" s="22">
        <f t="shared" si="4"/>
        <v>0</v>
      </c>
    </row>
    <row r="263" spans="1:11" x14ac:dyDescent="0.45">
      <c r="A263" s="5" t="s">
        <v>355</v>
      </c>
      <c r="B263" s="5">
        <v>6</v>
      </c>
      <c r="C263" s="5" t="s">
        <v>78</v>
      </c>
      <c r="D263" s="5" t="s">
        <v>23</v>
      </c>
      <c r="E263" s="5" t="s">
        <v>13</v>
      </c>
      <c r="F263" s="5" t="s">
        <v>63</v>
      </c>
      <c r="G263" s="6" t="s">
        <v>64</v>
      </c>
      <c r="H263" s="7">
        <v>0</v>
      </c>
      <c r="I263" s="5" t="s">
        <v>16</v>
      </c>
      <c r="J263" s="5"/>
      <c r="K263" s="22">
        <f t="shared" si="4"/>
        <v>0</v>
      </c>
    </row>
    <row r="264" spans="1:11" x14ac:dyDescent="0.45">
      <c r="A264" s="2" t="s">
        <v>356</v>
      </c>
      <c r="B264" s="2">
        <v>12</v>
      </c>
      <c r="C264" s="2" t="s">
        <v>34</v>
      </c>
      <c r="D264" s="2" t="s">
        <v>30</v>
      </c>
      <c r="E264" s="2" t="s">
        <v>57</v>
      </c>
      <c r="F264" s="2" t="s">
        <v>85</v>
      </c>
      <c r="G264" s="3" t="s">
        <v>159</v>
      </c>
      <c r="H264" s="4">
        <v>15700</v>
      </c>
      <c r="I264" s="2" t="s">
        <v>58</v>
      </c>
      <c r="J264" s="2"/>
      <c r="K264" s="22">
        <f t="shared" si="4"/>
        <v>0</v>
      </c>
    </row>
    <row r="265" spans="1:11" x14ac:dyDescent="0.45">
      <c r="A265" s="5" t="s">
        <v>357</v>
      </c>
      <c r="B265" s="5">
        <v>6</v>
      </c>
      <c r="C265" s="5" t="s">
        <v>78</v>
      </c>
      <c r="D265" s="5" t="s">
        <v>23</v>
      </c>
      <c r="E265" s="5" t="s">
        <v>71</v>
      </c>
      <c r="F265" s="5" t="s">
        <v>63</v>
      </c>
      <c r="G265" s="6" t="s">
        <v>69</v>
      </c>
      <c r="H265" s="7">
        <v>21100</v>
      </c>
      <c r="I265" s="5" t="s">
        <v>72</v>
      </c>
      <c r="J265" s="5"/>
      <c r="K265" s="22">
        <f t="shared" si="4"/>
        <v>0</v>
      </c>
    </row>
    <row r="266" spans="1:11" x14ac:dyDescent="0.45">
      <c r="A266" s="2" t="s">
        <v>358</v>
      </c>
      <c r="B266" s="2">
        <v>8</v>
      </c>
      <c r="C266" s="2" t="s">
        <v>60</v>
      </c>
      <c r="D266" s="2" t="s">
        <v>41</v>
      </c>
      <c r="E266" s="2" t="s">
        <v>57</v>
      </c>
      <c r="F266" s="2" t="s">
        <v>14</v>
      </c>
      <c r="G266" s="3" t="s">
        <v>42</v>
      </c>
      <c r="H266" s="4">
        <v>6700</v>
      </c>
      <c r="I266" s="2" t="s">
        <v>58</v>
      </c>
      <c r="J266" s="2"/>
      <c r="K266" s="22">
        <f t="shared" si="4"/>
        <v>0</v>
      </c>
    </row>
    <row r="267" spans="1:11" x14ac:dyDescent="0.45">
      <c r="A267" s="5" t="s">
        <v>359</v>
      </c>
      <c r="B267" s="5">
        <v>6</v>
      </c>
      <c r="C267" s="5" t="s">
        <v>78</v>
      </c>
      <c r="D267" s="5" t="s">
        <v>23</v>
      </c>
      <c r="E267" s="5" t="s">
        <v>57</v>
      </c>
      <c r="F267" s="5" t="s">
        <v>75</v>
      </c>
      <c r="G267" s="6" t="s">
        <v>83</v>
      </c>
      <c r="H267" s="7">
        <v>14900</v>
      </c>
      <c r="I267" s="5" t="s">
        <v>58</v>
      </c>
      <c r="J267" s="5"/>
      <c r="K267" s="22">
        <f t="shared" si="4"/>
        <v>0</v>
      </c>
    </row>
    <row r="268" spans="1:11" x14ac:dyDescent="0.45">
      <c r="A268" s="2" t="s">
        <v>360</v>
      </c>
      <c r="B268" s="2">
        <v>6</v>
      </c>
      <c r="C268" s="2" t="s">
        <v>78</v>
      </c>
      <c r="D268" s="2" t="s">
        <v>23</v>
      </c>
      <c r="E268" s="2" t="s">
        <v>19</v>
      </c>
      <c r="F268" s="2" t="s">
        <v>31</v>
      </c>
      <c r="G268" s="3" t="s">
        <v>81</v>
      </c>
      <c r="H268" s="4">
        <v>19200</v>
      </c>
      <c r="I268" s="2" t="s">
        <v>20</v>
      </c>
      <c r="J268" s="2"/>
      <c r="K268" s="22">
        <f t="shared" si="4"/>
        <v>0</v>
      </c>
    </row>
    <row r="269" spans="1:11" x14ac:dyDescent="0.45">
      <c r="A269" s="5" t="s">
        <v>361</v>
      </c>
      <c r="B269" s="5">
        <v>6</v>
      </c>
      <c r="C269" s="5" t="s">
        <v>78</v>
      </c>
      <c r="D269" s="5" t="s">
        <v>23</v>
      </c>
      <c r="E269" s="5" t="s">
        <v>35</v>
      </c>
      <c r="F269" s="5" t="s">
        <v>14</v>
      </c>
      <c r="G269" s="6" t="s">
        <v>48</v>
      </c>
      <c r="H269" s="7">
        <v>105300</v>
      </c>
      <c r="I269" s="5" t="s">
        <v>38</v>
      </c>
      <c r="J269" s="5"/>
      <c r="K269" s="22">
        <f t="shared" si="4"/>
        <v>0</v>
      </c>
    </row>
    <row r="270" spans="1:11" x14ac:dyDescent="0.45">
      <c r="A270" s="2" t="s">
        <v>362</v>
      </c>
      <c r="B270" s="2">
        <v>7</v>
      </c>
      <c r="C270" s="2" t="s">
        <v>56</v>
      </c>
      <c r="D270" s="2" t="s">
        <v>41</v>
      </c>
      <c r="E270" s="2" t="s">
        <v>24</v>
      </c>
      <c r="F270" s="2" t="s">
        <v>44</v>
      </c>
      <c r="G270" s="3" t="s">
        <v>123</v>
      </c>
      <c r="H270" s="4">
        <v>12200</v>
      </c>
      <c r="I270" s="2" t="s">
        <v>27</v>
      </c>
      <c r="J270" s="2"/>
      <c r="K270" s="22">
        <f t="shared" si="4"/>
        <v>0</v>
      </c>
    </row>
    <row r="271" spans="1:11" x14ac:dyDescent="0.45">
      <c r="A271" s="5" t="s">
        <v>363</v>
      </c>
      <c r="B271" s="5">
        <v>9</v>
      </c>
      <c r="C271" s="5" t="s">
        <v>40</v>
      </c>
      <c r="D271" s="5" t="s">
        <v>41</v>
      </c>
      <c r="E271" s="5" t="s">
        <v>19</v>
      </c>
      <c r="F271" s="5" t="s">
        <v>31</v>
      </c>
      <c r="G271" s="6" t="s">
        <v>81</v>
      </c>
      <c r="H271" s="7">
        <v>34500</v>
      </c>
      <c r="I271" s="5" t="s">
        <v>20</v>
      </c>
      <c r="J271" s="5"/>
      <c r="K271" s="22">
        <f t="shared" si="4"/>
        <v>0</v>
      </c>
    </row>
    <row r="272" spans="1:11" x14ac:dyDescent="0.45">
      <c r="A272" s="2" t="s">
        <v>364</v>
      </c>
      <c r="B272" s="2">
        <v>2</v>
      </c>
      <c r="C272" s="2" t="s">
        <v>11</v>
      </c>
      <c r="D272" s="2" t="s">
        <v>12</v>
      </c>
      <c r="E272" s="2" t="s">
        <v>13</v>
      </c>
      <c r="F272" s="2" t="s">
        <v>50</v>
      </c>
      <c r="G272" s="3" t="s">
        <v>144</v>
      </c>
      <c r="H272" s="4">
        <v>33500</v>
      </c>
      <c r="I272" s="2" t="s">
        <v>16</v>
      </c>
      <c r="J272" s="2"/>
      <c r="K272" s="22">
        <f t="shared" si="4"/>
        <v>0</v>
      </c>
    </row>
    <row r="273" spans="1:11" x14ac:dyDescent="0.45">
      <c r="A273" s="5" t="s">
        <v>365</v>
      </c>
      <c r="B273" s="5">
        <v>7</v>
      </c>
      <c r="C273" s="5" t="s">
        <v>56</v>
      </c>
      <c r="D273" s="5" t="s">
        <v>41</v>
      </c>
      <c r="E273" s="5" t="s">
        <v>13</v>
      </c>
      <c r="F273" s="5" t="s">
        <v>14</v>
      </c>
      <c r="G273" s="6" t="s">
        <v>42</v>
      </c>
      <c r="H273" s="7">
        <v>313700</v>
      </c>
      <c r="I273" s="5" t="s">
        <v>16</v>
      </c>
      <c r="J273" s="5"/>
      <c r="K273" s="22">
        <f t="shared" si="4"/>
        <v>0</v>
      </c>
    </row>
    <row r="274" spans="1:11" x14ac:dyDescent="0.45">
      <c r="A274" s="2" t="s">
        <v>366</v>
      </c>
      <c r="B274" s="2">
        <v>4</v>
      </c>
      <c r="C274" s="2" t="s">
        <v>47</v>
      </c>
      <c r="D274" s="2" t="s">
        <v>23</v>
      </c>
      <c r="E274" s="2" t="s">
        <v>24</v>
      </c>
      <c r="F274" s="2" t="s">
        <v>25</v>
      </c>
      <c r="G274" s="3" t="s">
        <v>26</v>
      </c>
      <c r="H274" s="4">
        <v>72700</v>
      </c>
      <c r="I274" s="2" t="s">
        <v>27</v>
      </c>
      <c r="J274" s="2"/>
      <c r="K274" s="22">
        <f t="shared" si="4"/>
        <v>0</v>
      </c>
    </row>
    <row r="275" spans="1:11" x14ac:dyDescent="0.45">
      <c r="A275" s="5" t="s">
        <v>367</v>
      </c>
      <c r="B275" s="5">
        <v>4</v>
      </c>
      <c r="C275" s="5" t="s">
        <v>47</v>
      </c>
      <c r="D275" s="5" t="s">
        <v>23</v>
      </c>
      <c r="E275" s="5" t="s">
        <v>24</v>
      </c>
      <c r="F275" s="5" t="s">
        <v>36</v>
      </c>
      <c r="G275" s="6" t="s">
        <v>37</v>
      </c>
      <c r="H275" s="7">
        <v>18000</v>
      </c>
      <c r="I275" s="5" t="s">
        <v>27</v>
      </c>
      <c r="J275" s="5"/>
      <c r="K275" s="22">
        <f t="shared" si="4"/>
        <v>0</v>
      </c>
    </row>
    <row r="276" spans="1:11" x14ac:dyDescent="0.45">
      <c r="A276" s="2" t="s">
        <v>368</v>
      </c>
      <c r="B276" s="2">
        <v>12</v>
      </c>
      <c r="C276" s="2" t="s">
        <v>34</v>
      </c>
      <c r="D276" s="2" t="s">
        <v>30</v>
      </c>
      <c r="E276" s="2" t="s">
        <v>13</v>
      </c>
      <c r="F276" s="2" t="s">
        <v>102</v>
      </c>
      <c r="G276" s="3" t="s">
        <v>103</v>
      </c>
      <c r="H276" s="4">
        <v>28200</v>
      </c>
      <c r="I276" s="2" t="s">
        <v>16</v>
      </c>
      <c r="J276" s="2"/>
      <c r="K276" s="22">
        <f t="shared" si="4"/>
        <v>0</v>
      </c>
    </row>
    <row r="277" spans="1:11" x14ac:dyDescent="0.45">
      <c r="A277" s="5" t="s">
        <v>369</v>
      </c>
      <c r="B277" s="5">
        <v>3</v>
      </c>
      <c r="C277" s="5" t="s">
        <v>18</v>
      </c>
      <c r="D277" s="5" t="s">
        <v>12</v>
      </c>
      <c r="E277" s="5" t="s">
        <v>24</v>
      </c>
      <c r="F277" s="5" t="s">
        <v>14</v>
      </c>
      <c r="G277" s="6" t="s">
        <v>15</v>
      </c>
      <c r="H277" s="7">
        <v>60900</v>
      </c>
      <c r="I277" s="5" t="s">
        <v>27</v>
      </c>
      <c r="J277" s="5"/>
      <c r="K277" s="22">
        <f t="shared" si="4"/>
        <v>0</v>
      </c>
    </row>
    <row r="278" spans="1:11" x14ac:dyDescent="0.45">
      <c r="A278" s="2" t="s">
        <v>370</v>
      </c>
      <c r="B278" s="2">
        <v>4</v>
      </c>
      <c r="C278" s="2" t="s">
        <v>47</v>
      </c>
      <c r="D278" s="2" t="s">
        <v>23</v>
      </c>
      <c r="E278" s="2" t="s">
        <v>24</v>
      </c>
      <c r="F278" s="2" t="s">
        <v>44</v>
      </c>
      <c r="G278" s="3" t="s">
        <v>45</v>
      </c>
      <c r="H278" s="4">
        <v>32300</v>
      </c>
      <c r="I278" s="2" t="s">
        <v>27</v>
      </c>
      <c r="J278" s="2"/>
      <c r="K278" s="22">
        <f t="shared" si="4"/>
        <v>0</v>
      </c>
    </row>
    <row r="279" spans="1:11" x14ac:dyDescent="0.45">
      <c r="A279" s="5" t="s">
        <v>371</v>
      </c>
      <c r="B279" s="5">
        <v>6</v>
      </c>
      <c r="C279" s="5" t="s">
        <v>78</v>
      </c>
      <c r="D279" s="5" t="s">
        <v>23</v>
      </c>
      <c r="E279" s="5" t="s">
        <v>71</v>
      </c>
      <c r="F279" s="5" t="s">
        <v>14</v>
      </c>
      <c r="G279" s="6" t="s">
        <v>48</v>
      </c>
      <c r="H279" s="7">
        <v>355100</v>
      </c>
      <c r="I279" s="5" t="s">
        <v>72</v>
      </c>
      <c r="J279" s="5"/>
      <c r="K279" s="22">
        <f t="shared" si="4"/>
        <v>0</v>
      </c>
    </row>
    <row r="280" spans="1:11" x14ac:dyDescent="0.45">
      <c r="A280" s="2" t="s">
        <v>372</v>
      </c>
      <c r="B280" s="2">
        <v>10</v>
      </c>
      <c r="C280" s="2" t="s">
        <v>40</v>
      </c>
      <c r="D280" s="2" t="s">
        <v>30</v>
      </c>
      <c r="E280" s="2" t="s">
        <v>71</v>
      </c>
      <c r="F280" s="2" t="s">
        <v>14</v>
      </c>
      <c r="G280" s="3" t="s">
        <v>42</v>
      </c>
      <c r="H280" s="4">
        <v>268300</v>
      </c>
      <c r="I280" s="2" t="s">
        <v>72</v>
      </c>
      <c r="J280" s="2"/>
      <c r="K280" s="22">
        <f t="shared" si="4"/>
        <v>0</v>
      </c>
    </row>
    <row r="281" spans="1:11" x14ac:dyDescent="0.45">
      <c r="A281" s="5" t="s">
        <v>373</v>
      </c>
      <c r="B281" s="5">
        <v>7</v>
      </c>
      <c r="C281" s="5" t="s">
        <v>56</v>
      </c>
      <c r="D281" s="5" t="s">
        <v>41</v>
      </c>
      <c r="E281" s="5" t="s">
        <v>13</v>
      </c>
      <c r="F281" s="5" t="s">
        <v>102</v>
      </c>
      <c r="G281" s="6" t="s">
        <v>243</v>
      </c>
      <c r="H281" s="7">
        <v>90600</v>
      </c>
      <c r="I281" s="5" t="s">
        <v>16</v>
      </c>
      <c r="J281" s="5"/>
      <c r="K281" s="22">
        <f t="shared" si="4"/>
        <v>0</v>
      </c>
    </row>
    <row r="282" spans="1:11" x14ac:dyDescent="0.45">
      <c r="A282" s="2" t="s">
        <v>374</v>
      </c>
      <c r="B282" s="2">
        <v>8</v>
      </c>
      <c r="C282" s="2" t="s">
        <v>60</v>
      </c>
      <c r="D282" s="2" t="s">
        <v>41</v>
      </c>
      <c r="E282" s="2" t="s">
        <v>24</v>
      </c>
      <c r="F282" s="2" t="s">
        <v>14</v>
      </c>
      <c r="G282" s="3" t="s">
        <v>48</v>
      </c>
      <c r="H282" s="4">
        <v>442600</v>
      </c>
      <c r="I282" s="2" t="s">
        <v>27</v>
      </c>
      <c r="J282" s="2"/>
      <c r="K282" s="22">
        <f t="shared" si="4"/>
        <v>0</v>
      </c>
    </row>
    <row r="283" spans="1:11" x14ac:dyDescent="0.45">
      <c r="A283" s="5" t="s">
        <v>375</v>
      </c>
      <c r="B283" s="5">
        <v>2</v>
      </c>
      <c r="C283" s="5" t="s">
        <v>11</v>
      </c>
      <c r="D283" s="5" t="s">
        <v>12</v>
      </c>
      <c r="E283" s="5" t="s">
        <v>24</v>
      </c>
      <c r="F283" s="5" t="s">
        <v>25</v>
      </c>
      <c r="G283" s="6" t="s">
        <v>212</v>
      </c>
      <c r="H283" s="7">
        <v>41200</v>
      </c>
      <c r="I283" s="5" t="s">
        <v>27</v>
      </c>
      <c r="J283" s="5"/>
      <c r="K283" s="22">
        <f t="shared" si="4"/>
        <v>0</v>
      </c>
    </row>
    <row r="284" spans="1:11" x14ac:dyDescent="0.45">
      <c r="A284" s="2" t="s">
        <v>376</v>
      </c>
      <c r="B284" s="2">
        <v>2</v>
      </c>
      <c r="C284" s="2" t="s">
        <v>11</v>
      </c>
      <c r="D284" s="2" t="s">
        <v>12</v>
      </c>
      <c r="E284" s="2" t="s">
        <v>57</v>
      </c>
      <c r="F284" s="2" t="s">
        <v>85</v>
      </c>
      <c r="G284" s="3" t="s">
        <v>159</v>
      </c>
      <c r="H284" s="4">
        <v>12200</v>
      </c>
      <c r="I284" s="2" t="s">
        <v>58</v>
      </c>
      <c r="J284" s="2"/>
      <c r="K284" s="22">
        <f t="shared" si="4"/>
        <v>0</v>
      </c>
    </row>
    <row r="285" spans="1:11" x14ac:dyDescent="0.45">
      <c r="A285" s="5" t="s">
        <v>377</v>
      </c>
      <c r="B285" s="5">
        <v>11</v>
      </c>
      <c r="C285" s="5" t="s">
        <v>29</v>
      </c>
      <c r="D285" s="5" t="s">
        <v>30</v>
      </c>
      <c r="E285" s="5" t="s">
        <v>13</v>
      </c>
      <c r="F285" s="5" t="s">
        <v>102</v>
      </c>
      <c r="G285" s="6" t="s">
        <v>140</v>
      </c>
      <c r="H285" s="7">
        <v>26300</v>
      </c>
      <c r="I285" s="5" t="s">
        <v>16</v>
      </c>
      <c r="J285" s="5"/>
      <c r="K285" s="22">
        <f t="shared" si="4"/>
        <v>0</v>
      </c>
    </row>
    <row r="286" spans="1:11" x14ac:dyDescent="0.45">
      <c r="A286" s="2" t="s">
        <v>378</v>
      </c>
      <c r="B286" s="2">
        <v>5</v>
      </c>
      <c r="C286" s="2" t="s">
        <v>22</v>
      </c>
      <c r="D286" s="2" t="s">
        <v>23</v>
      </c>
      <c r="E286" s="2" t="s">
        <v>71</v>
      </c>
      <c r="F286" s="2" t="s">
        <v>88</v>
      </c>
      <c r="G286" s="3" t="s">
        <v>176</v>
      </c>
      <c r="H286" s="4">
        <v>14800</v>
      </c>
      <c r="I286" s="2" t="s">
        <v>72</v>
      </c>
      <c r="J286" s="2"/>
      <c r="K286" s="22">
        <f t="shared" si="4"/>
        <v>0</v>
      </c>
    </row>
    <row r="287" spans="1:11" x14ac:dyDescent="0.45">
      <c r="A287" s="5" t="s">
        <v>379</v>
      </c>
      <c r="B287" s="5">
        <v>4</v>
      </c>
      <c r="C287" s="5" t="s">
        <v>47</v>
      </c>
      <c r="D287" s="5" t="s">
        <v>23</v>
      </c>
      <c r="E287" s="5" t="s">
        <v>71</v>
      </c>
      <c r="F287" s="5" t="s">
        <v>88</v>
      </c>
      <c r="G287" s="6" t="s">
        <v>176</v>
      </c>
      <c r="H287" s="7">
        <v>7600</v>
      </c>
      <c r="I287" s="5" t="s">
        <v>72</v>
      </c>
      <c r="J287" s="5"/>
      <c r="K287" s="22">
        <f t="shared" si="4"/>
        <v>0</v>
      </c>
    </row>
    <row r="288" spans="1:11" x14ac:dyDescent="0.45">
      <c r="A288" s="2" t="s">
        <v>380</v>
      </c>
      <c r="B288" s="2">
        <v>5</v>
      </c>
      <c r="C288" s="2" t="s">
        <v>22</v>
      </c>
      <c r="D288" s="2" t="s">
        <v>23</v>
      </c>
      <c r="E288" s="2" t="s">
        <v>57</v>
      </c>
      <c r="F288" s="2" t="s">
        <v>63</v>
      </c>
      <c r="G288" s="3" t="s">
        <v>64</v>
      </c>
      <c r="H288" s="4">
        <v>1000</v>
      </c>
      <c r="I288" s="2" t="s">
        <v>58</v>
      </c>
      <c r="J288" s="2"/>
      <c r="K288" s="22">
        <f t="shared" si="4"/>
        <v>0</v>
      </c>
    </row>
    <row r="289" spans="1:11" x14ac:dyDescent="0.45">
      <c r="A289" s="5" t="s">
        <v>381</v>
      </c>
      <c r="B289" s="5">
        <v>7</v>
      </c>
      <c r="C289" s="5" t="s">
        <v>56</v>
      </c>
      <c r="D289" s="5" t="s">
        <v>41</v>
      </c>
      <c r="E289" s="5" t="s">
        <v>57</v>
      </c>
      <c r="F289" s="5" t="s">
        <v>14</v>
      </c>
      <c r="G289" s="6" t="s">
        <v>42</v>
      </c>
      <c r="H289" s="7">
        <v>16900</v>
      </c>
      <c r="I289" s="5" t="s">
        <v>58</v>
      </c>
      <c r="J289" s="5"/>
      <c r="K289" s="22">
        <f t="shared" si="4"/>
        <v>0</v>
      </c>
    </row>
    <row r="290" spans="1:11" x14ac:dyDescent="0.45">
      <c r="A290" s="2" t="s">
        <v>382</v>
      </c>
      <c r="B290" s="2">
        <v>2</v>
      </c>
      <c r="C290" s="2" t="s">
        <v>11</v>
      </c>
      <c r="D290" s="2" t="s">
        <v>12</v>
      </c>
      <c r="E290" s="2" t="s">
        <v>57</v>
      </c>
      <c r="F290" s="2" t="s">
        <v>14</v>
      </c>
      <c r="G290" s="3" t="s">
        <v>42</v>
      </c>
      <c r="H290" s="4">
        <v>173100</v>
      </c>
      <c r="I290" s="2" t="s">
        <v>58</v>
      </c>
      <c r="J290" s="2"/>
      <c r="K290" s="22">
        <f t="shared" si="4"/>
        <v>0</v>
      </c>
    </row>
    <row r="291" spans="1:11" x14ac:dyDescent="0.45">
      <c r="A291" s="5" t="s">
        <v>383</v>
      </c>
      <c r="B291" s="5">
        <v>6</v>
      </c>
      <c r="C291" s="5" t="s">
        <v>78</v>
      </c>
      <c r="D291" s="5" t="s">
        <v>23</v>
      </c>
      <c r="E291" s="5" t="s">
        <v>24</v>
      </c>
      <c r="F291" s="5" t="s">
        <v>44</v>
      </c>
      <c r="G291" s="6" t="s">
        <v>45</v>
      </c>
      <c r="H291" s="7">
        <v>89300</v>
      </c>
      <c r="I291" s="5" t="s">
        <v>27</v>
      </c>
      <c r="J291" s="5"/>
      <c r="K291" s="22">
        <f t="shared" si="4"/>
        <v>0</v>
      </c>
    </row>
    <row r="292" spans="1:11" x14ac:dyDescent="0.45">
      <c r="A292" s="2" t="s">
        <v>384</v>
      </c>
      <c r="B292" s="2">
        <v>12</v>
      </c>
      <c r="C292" s="2" t="s">
        <v>34</v>
      </c>
      <c r="D292" s="2" t="s">
        <v>30</v>
      </c>
      <c r="E292" s="2" t="s">
        <v>35</v>
      </c>
      <c r="F292" s="2" t="s">
        <v>14</v>
      </c>
      <c r="G292" s="3" t="s">
        <v>42</v>
      </c>
      <c r="H292" s="4">
        <v>140400</v>
      </c>
      <c r="I292" s="2" t="s">
        <v>38</v>
      </c>
      <c r="J292" s="2"/>
      <c r="K292" s="22">
        <f t="shared" si="4"/>
        <v>0</v>
      </c>
    </row>
    <row r="293" spans="1:11" x14ac:dyDescent="0.45">
      <c r="A293" s="5" t="s">
        <v>385</v>
      </c>
      <c r="B293" s="5">
        <v>8</v>
      </c>
      <c r="C293" s="5" t="s">
        <v>60</v>
      </c>
      <c r="D293" s="5" t="s">
        <v>41</v>
      </c>
      <c r="E293" s="5" t="s">
        <v>57</v>
      </c>
      <c r="F293" s="5" t="s">
        <v>75</v>
      </c>
      <c r="G293" s="6" t="s">
        <v>83</v>
      </c>
      <c r="H293" s="7">
        <v>9500</v>
      </c>
      <c r="I293" s="5" t="s">
        <v>58</v>
      </c>
      <c r="J293" s="5"/>
      <c r="K293" s="22">
        <f t="shared" si="4"/>
        <v>0</v>
      </c>
    </row>
    <row r="294" spans="1:11" x14ac:dyDescent="0.45">
      <c r="A294" s="2" t="s">
        <v>386</v>
      </c>
      <c r="B294" s="2">
        <v>10</v>
      </c>
      <c r="C294" s="2" t="s">
        <v>40</v>
      </c>
      <c r="D294" s="2" t="s">
        <v>30</v>
      </c>
      <c r="E294" s="2" t="s">
        <v>13</v>
      </c>
      <c r="F294" s="2" t="s">
        <v>63</v>
      </c>
      <c r="G294" s="3" t="s">
        <v>64</v>
      </c>
      <c r="H294" s="4">
        <v>4000</v>
      </c>
      <c r="I294" s="2" t="s">
        <v>16</v>
      </c>
      <c r="J294" s="2"/>
      <c r="K294" s="22">
        <f t="shared" si="4"/>
        <v>0</v>
      </c>
    </row>
    <row r="295" spans="1:11" x14ac:dyDescent="0.45">
      <c r="A295" s="5" t="s">
        <v>387</v>
      </c>
      <c r="B295" s="5">
        <v>3</v>
      </c>
      <c r="C295" s="5" t="s">
        <v>18</v>
      </c>
      <c r="D295" s="5" t="s">
        <v>12</v>
      </c>
      <c r="E295" s="5" t="s">
        <v>13</v>
      </c>
      <c r="F295" s="5" t="s">
        <v>14</v>
      </c>
      <c r="G295" s="6" t="s">
        <v>48</v>
      </c>
      <c r="H295" s="7">
        <v>41400</v>
      </c>
      <c r="I295" s="5" t="s">
        <v>16</v>
      </c>
      <c r="J295" s="5"/>
      <c r="K295" s="22">
        <f t="shared" si="4"/>
        <v>0</v>
      </c>
    </row>
    <row r="296" spans="1:11" x14ac:dyDescent="0.45">
      <c r="A296" s="2" t="s">
        <v>388</v>
      </c>
      <c r="B296" s="2">
        <v>5</v>
      </c>
      <c r="C296" s="2" t="s">
        <v>22</v>
      </c>
      <c r="D296" s="2" t="s">
        <v>23</v>
      </c>
      <c r="E296" s="2" t="s">
        <v>35</v>
      </c>
      <c r="F296" s="2" t="s">
        <v>14</v>
      </c>
      <c r="G296" s="3" t="s">
        <v>48</v>
      </c>
      <c r="H296" s="4">
        <v>27300</v>
      </c>
      <c r="I296" s="2" t="s">
        <v>38</v>
      </c>
      <c r="J296" s="2"/>
      <c r="K296" s="22">
        <f t="shared" si="4"/>
        <v>0</v>
      </c>
    </row>
    <row r="297" spans="1:11" x14ac:dyDescent="0.45">
      <c r="A297" s="5" t="s">
        <v>389</v>
      </c>
      <c r="B297" s="5">
        <v>7</v>
      </c>
      <c r="C297" s="5" t="s">
        <v>56</v>
      </c>
      <c r="D297" s="5" t="s">
        <v>41</v>
      </c>
      <c r="E297" s="5" t="s">
        <v>57</v>
      </c>
      <c r="F297" s="5" t="s">
        <v>14</v>
      </c>
      <c r="G297" s="6" t="s">
        <v>48</v>
      </c>
      <c r="H297" s="7">
        <v>98700</v>
      </c>
      <c r="I297" s="5" t="s">
        <v>58</v>
      </c>
      <c r="J297" s="5"/>
      <c r="K297" s="22">
        <f t="shared" si="4"/>
        <v>0</v>
      </c>
    </row>
    <row r="298" spans="1:11" x14ac:dyDescent="0.45">
      <c r="A298" s="2" t="s">
        <v>390</v>
      </c>
      <c r="B298" s="2">
        <v>8</v>
      </c>
      <c r="C298" s="2" t="s">
        <v>60</v>
      </c>
      <c r="D298" s="2" t="s">
        <v>41</v>
      </c>
      <c r="E298" s="2" t="s">
        <v>24</v>
      </c>
      <c r="F298" s="2" t="s">
        <v>25</v>
      </c>
      <c r="G298" s="3" t="s">
        <v>212</v>
      </c>
      <c r="H298" s="4">
        <v>600</v>
      </c>
      <c r="I298" s="2" t="s">
        <v>27</v>
      </c>
      <c r="J298" s="2"/>
      <c r="K298" s="22">
        <f t="shared" si="4"/>
        <v>0</v>
      </c>
    </row>
    <row r="299" spans="1:11" x14ac:dyDescent="0.45">
      <c r="A299" s="5" t="s">
        <v>391</v>
      </c>
      <c r="B299" s="5">
        <v>4</v>
      </c>
      <c r="C299" s="5" t="s">
        <v>47</v>
      </c>
      <c r="D299" s="5" t="s">
        <v>23</v>
      </c>
      <c r="E299" s="5" t="s">
        <v>13</v>
      </c>
      <c r="F299" s="5" t="s">
        <v>50</v>
      </c>
      <c r="G299" s="6" t="s">
        <v>51</v>
      </c>
      <c r="H299" s="7">
        <v>50500</v>
      </c>
      <c r="I299" s="5" t="s">
        <v>16</v>
      </c>
      <c r="J299" s="5"/>
      <c r="K299" s="22">
        <f t="shared" si="4"/>
        <v>0</v>
      </c>
    </row>
    <row r="300" spans="1:11" x14ac:dyDescent="0.45">
      <c r="A300" s="2" t="s">
        <v>392</v>
      </c>
      <c r="B300" s="2">
        <v>1</v>
      </c>
      <c r="C300" s="2" t="s">
        <v>66</v>
      </c>
      <c r="D300" s="2" t="s">
        <v>12</v>
      </c>
      <c r="E300" s="2" t="s">
        <v>35</v>
      </c>
      <c r="F300" s="2" t="s">
        <v>105</v>
      </c>
      <c r="G300" s="3" t="s">
        <v>150</v>
      </c>
      <c r="H300" s="4">
        <v>200</v>
      </c>
      <c r="I300" s="2" t="s">
        <v>38</v>
      </c>
      <c r="J300" s="2"/>
      <c r="K300" s="22">
        <f t="shared" si="4"/>
        <v>0</v>
      </c>
    </row>
    <row r="301" spans="1:11" x14ac:dyDescent="0.45">
      <c r="A301" s="5" t="s">
        <v>393</v>
      </c>
      <c r="B301" s="5">
        <v>5</v>
      </c>
      <c r="C301" s="5" t="s">
        <v>22</v>
      </c>
      <c r="D301" s="5" t="s">
        <v>23</v>
      </c>
      <c r="E301" s="5" t="s">
        <v>13</v>
      </c>
      <c r="F301" s="5" t="s">
        <v>102</v>
      </c>
      <c r="G301" s="6" t="s">
        <v>243</v>
      </c>
      <c r="H301" s="7">
        <v>5900</v>
      </c>
      <c r="I301" s="5" t="s">
        <v>16</v>
      </c>
      <c r="J301" s="5" t="s">
        <v>108</v>
      </c>
      <c r="K301" s="22">
        <f t="shared" si="4"/>
        <v>1</v>
      </c>
    </row>
    <row r="302" spans="1:11" x14ac:dyDescent="0.45">
      <c r="A302" s="2" t="s">
        <v>394</v>
      </c>
      <c r="B302" s="2">
        <v>9</v>
      </c>
      <c r="C302" s="2" t="s">
        <v>40</v>
      </c>
      <c r="D302" s="2" t="s">
        <v>41</v>
      </c>
      <c r="E302" s="2" t="s">
        <v>57</v>
      </c>
      <c r="F302" s="2" t="s">
        <v>14</v>
      </c>
      <c r="G302" s="3" t="s">
        <v>15</v>
      </c>
      <c r="H302" s="4">
        <v>34100</v>
      </c>
      <c r="I302" s="2" t="s">
        <v>58</v>
      </c>
      <c r="J302" s="2"/>
      <c r="K302" s="22">
        <f t="shared" si="4"/>
        <v>0</v>
      </c>
    </row>
    <row r="303" spans="1:11" x14ac:dyDescent="0.45">
      <c r="A303" s="5" t="s">
        <v>395</v>
      </c>
      <c r="B303" s="5">
        <v>10</v>
      </c>
      <c r="C303" s="5" t="s">
        <v>40</v>
      </c>
      <c r="D303" s="5" t="s">
        <v>30</v>
      </c>
      <c r="E303" s="5" t="s">
        <v>13</v>
      </c>
      <c r="F303" s="5" t="s">
        <v>14</v>
      </c>
      <c r="G303" s="6" t="s">
        <v>15</v>
      </c>
      <c r="H303" s="7">
        <v>80900</v>
      </c>
      <c r="I303" s="5" t="s">
        <v>16</v>
      </c>
      <c r="J303" s="5"/>
      <c r="K303" s="22">
        <f t="shared" si="4"/>
        <v>0</v>
      </c>
    </row>
    <row r="304" spans="1:11" x14ac:dyDescent="0.45">
      <c r="A304" s="2" t="s">
        <v>396</v>
      </c>
      <c r="B304" s="2">
        <v>3</v>
      </c>
      <c r="C304" s="2" t="s">
        <v>18</v>
      </c>
      <c r="D304" s="2" t="s">
        <v>12</v>
      </c>
      <c r="E304" s="2" t="s">
        <v>19</v>
      </c>
      <c r="F304" s="2" t="s">
        <v>14</v>
      </c>
      <c r="G304" s="3" t="s">
        <v>48</v>
      </c>
      <c r="H304" s="4">
        <v>141500</v>
      </c>
      <c r="I304" s="2" t="s">
        <v>20</v>
      </c>
      <c r="J304" s="2"/>
      <c r="K304" s="22">
        <f t="shared" si="4"/>
        <v>0</v>
      </c>
    </row>
    <row r="305" spans="1:11" x14ac:dyDescent="0.45">
      <c r="A305" s="5" t="s">
        <v>397</v>
      </c>
      <c r="B305" s="5">
        <v>2</v>
      </c>
      <c r="C305" s="5" t="s">
        <v>11</v>
      </c>
      <c r="D305" s="5" t="s">
        <v>12</v>
      </c>
      <c r="E305" s="5" t="s">
        <v>71</v>
      </c>
      <c r="F305" s="5" t="s">
        <v>14</v>
      </c>
      <c r="G305" s="6" t="s">
        <v>42</v>
      </c>
      <c r="H305" s="7">
        <v>436800</v>
      </c>
      <c r="I305" s="5" t="s">
        <v>72</v>
      </c>
      <c r="J305" s="5"/>
      <c r="K305" s="22">
        <f t="shared" si="4"/>
        <v>0</v>
      </c>
    </row>
    <row r="306" spans="1:11" x14ac:dyDescent="0.45">
      <c r="A306" s="2" t="s">
        <v>398</v>
      </c>
      <c r="B306" s="2">
        <v>3</v>
      </c>
      <c r="C306" s="2" t="s">
        <v>18</v>
      </c>
      <c r="D306" s="2" t="s">
        <v>12</v>
      </c>
      <c r="E306" s="2" t="s">
        <v>13</v>
      </c>
      <c r="F306" s="2" t="s">
        <v>14</v>
      </c>
      <c r="G306" s="3" t="s">
        <v>42</v>
      </c>
      <c r="H306" s="4">
        <v>235000</v>
      </c>
      <c r="I306" s="2" t="s">
        <v>16</v>
      </c>
      <c r="J306" s="2"/>
      <c r="K306" s="22">
        <f t="shared" si="4"/>
        <v>0</v>
      </c>
    </row>
    <row r="307" spans="1:11" x14ac:dyDescent="0.45">
      <c r="A307" s="5" t="s">
        <v>399</v>
      </c>
      <c r="B307" s="5">
        <v>3</v>
      </c>
      <c r="C307" s="5" t="s">
        <v>18</v>
      </c>
      <c r="D307" s="5" t="s">
        <v>12</v>
      </c>
      <c r="E307" s="5" t="s">
        <v>19</v>
      </c>
      <c r="F307" s="5" t="s">
        <v>14</v>
      </c>
      <c r="G307" s="6" t="s">
        <v>15</v>
      </c>
      <c r="H307" s="7">
        <v>188200</v>
      </c>
      <c r="I307" s="5" t="s">
        <v>20</v>
      </c>
      <c r="J307" s="5"/>
      <c r="K307" s="22">
        <f t="shared" si="4"/>
        <v>0</v>
      </c>
    </row>
    <row r="308" spans="1:11" x14ac:dyDescent="0.45">
      <c r="A308" s="2" t="s">
        <v>400</v>
      </c>
      <c r="B308" s="2">
        <v>10</v>
      </c>
      <c r="C308" s="2" t="s">
        <v>40</v>
      </c>
      <c r="D308" s="2" t="s">
        <v>30</v>
      </c>
      <c r="E308" s="2" t="s">
        <v>19</v>
      </c>
      <c r="F308" s="2" t="s">
        <v>14</v>
      </c>
      <c r="G308" s="3" t="s">
        <v>42</v>
      </c>
      <c r="H308" s="4">
        <v>125600</v>
      </c>
      <c r="I308" s="2" t="s">
        <v>20</v>
      </c>
      <c r="J308" s="2"/>
      <c r="K308" s="22">
        <f t="shared" si="4"/>
        <v>0</v>
      </c>
    </row>
    <row r="309" spans="1:11" x14ac:dyDescent="0.45">
      <c r="A309" s="5" t="s">
        <v>401</v>
      </c>
      <c r="B309" s="5">
        <v>9</v>
      </c>
      <c r="C309" s="5" t="s">
        <v>40</v>
      </c>
      <c r="D309" s="5" t="s">
        <v>41</v>
      </c>
      <c r="E309" s="5" t="s">
        <v>71</v>
      </c>
      <c r="F309" s="5" t="s">
        <v>94</v>
      </c>
      <c r="G309" s="6" t="s">
        <v>95</v>
      </c>
      <c r="H309" s="7">
        <v>16800</v>
      </c>
      <c r="I309" s="5" t="s">
        <v>72</v>
      </c>
      <c r="J309" s="5"/>
      <c r="K309" s="22">
        <f t="shared" si="4"/>
        <v>0</v>
      </c>
    </row>
    <row r="310" spans="1:11" x14ac:dyDescent="0.45">
      <c r="A310" s="2" t="s">
        <v>402</v>
      </c>
      <c r="B310" s="2">
        <v>7</v>
      </c>
      <c r="C310" s="2" t="s">
        <v>56</v>
      </c>
      <c r="D310" s="2" t="s">
        <v>41</v>
      </c>
      <c r="E310" s="2" t="s">
        <v>13</v>
      </c>
      <c r="F310" s="2" t="s">
        <v>102</v>
      </c>
      <c r="G310" s="3" t="s">
        <v>103</v>
      </c>
      <c r="H310" s="4">
        <v>16300</v>
      </c>
      <c r="I310" s="2" t="s">
        <v>16</v>
      </c>
      <c r="J310" s="2"/>
      <c r="K310" s="22">
        <f t="shared" si="4"/>
        <v>0</v>
      </c>
    </row>
    <row r="311" spans="1:11" x14ac:dyDescent="0.45">
      <c r="A311" s="5" t="s">
        <v>403</v>
      </c>
      <c r="B311" s="5">
        <v>3</v>
      </c>
      <c r="C311" s="5" t="s">
        <v>18</v>
      </c>
      <c r="D311" s="5" t="s">
        <v>12</v>
      </c>
      <c r="E311" s="5" t="s">
        <v>57</v>
      </c>
      <c r="F311" s="5" t="s">
        <v>14</v>
      </c>
      <c r="G311" s="6" t="s">
        <v>42</v>
      </c>
      <c r="H311" s="7">
        <v>127800</v>
      </c>
      <c r="I311" s="5" t="s">
        <v>58</v>
      </c>
      <c r="J311" s="5"/>
      <c r="K311" s="22">
        <f t="shared" si="4"/>
        <v>0</v>
      </c>
    </row>
    <row r="312" spans="1:11" x14ac:dyDescent="0.45">
      <c r="A312" s="2" t="s">
        <v>404</v>
      </c>
      <c r="B312" s="2">
        <v>6</v>
      </c>
      <c r="C312" s="2" t="s">
        <v>78</v>
      </c>
      <c r="D312" s="2" t="s">
        <v>23</v>
      </c>
      <c r="E312" s="2" t="s">
        <v>19</v>
      </c>
      <c r="F312" s="2" t="s">
        <v>53</v>
      </c>
      <c r="G312" s="3" t="s">
        <v>54</v>
      </c>
      <c r="H312" s="4">
        <v>34000</v>
      </c>
      <c r="I312" s="2" t="s">
        <v>20</v>
      </c>
      <c r="J312" s="2"/>
      <c r="K312" s="22">
        <f t="shared" si="4"/>
        <v>0</v>
      </c>
    </row>
    <row r="313" spans="1:11" x14ac:dyDescent="0.45">
      <c r="A313" s="5" t="s">
        <v>405</v>
      </c>
      <c r="B313" s="5">
        <v>4</v>
      </c>
      <c r="C313" s="5" t="s">
        <v>47</v>
      </c>
      <c r="D313" s="5" t="s">
        <v>23</v>
      </c>
      <c r="E313" s="5" t="s">
        <v>71</v>
      </c>
      <c r="F313" s="5" t="s">
        <v>88</v>
      </c>
      <c r="G313" s="6" t="s">
        <v>258</v>
      </c>
      <c r="H313" s="7">
        <v>209000</v>
      </c>
      <c r="I313" s="5" t="s">
        <v>72</v>
      </c>
      <c r="J313" s="5"/>
      <c r="K313" s="22">
        <f t="shared" si="4"/>
        <v>0</v>
      </c>
    </row>
    <row r="314" spans="1:11" x14ac:dyDescent="0.45">
      <c r="A314" s="2" t="s">
        <v>406</v>
      </c>
      <c r="B314" s="2">
        <v>2</v>
      </c>
      <c r="C314" s="2" t="s">
        <v>11</v>
      </c>
      <c r="D314" s="2" t="s">
        <v>12</v>
      </c>
      <c r="E314" s="2" t="s">
        <v>35</v>
      </c>
      <c r="F314" s="2" t="s">
        <v>105</v>
      </c>
      <c r="G314" s="3" t="s">
        <v>150</v>
      </c>
      <c r="H314" s="4">
        <v>15800</v>
      </c>
      <c r="I314" s="2" t="s">
        <v>38</v>
      </c>
      <c r="J314" s="2"/>
      <c r="K314" s="22">
        <f t="shared" si="4"/>
        <v>0</v>
      </c>
    </row>
    <row r="315" spans="1:11" x14ac:dyDescent="0.45">
      <c r="A315" s="5" t="s">
        <v>407</v>
      </c>
      <c r="B315" s="5">
        <v>12</v>
      </c>
      <c r="C315" s="5" t="s">
        <v>34</v>
      </c>
      <c r="D315" s="5" t="s">
        <v>30</v>
      </c>
      <c r="E315" s="5" t="s">
        <v>57</v>
      </c>
      <c r="F315" s="5" t="s">
        <v>85</v>
      </c>
      <c r="G315" s="6" t="s">
        <v>129</v>
      </c>
      <c r="H315" s="7">
        <v>29200</v>
      </c>
      <c r="I315" s="5" t="s">
        <v>58</v>
      </c>
      <c r="J315" s="5"/>
      <c r="K315" s="22">
        <f t="shared" si="4"/>
        <v>0</v>
      </c>
    </row>
    <row r="316" spans="1:11" x14ac:dyDescent="0.45">
      <c r="A316" s="2" t="s">
        <v>408</v>
      </c>
      <c r="B316" s="2">
        <v>9</v>
      </c>
      <c r="C316" s="2" t="s">
        <v>40</v>
      </c>
      <c r="D316" s="2" t="s">
        <v>41</v>
      </c>
      <c r="E316" s="2" t="s">
        <v>13</v>
      </c>
      <c r="F316" s="2" t="s">
        <v>50</v>
      </c>
      <c r="G316" s="3" t="s">
        <v>144</v>
      </c>
      <c r="H316" s="4">
        <v>1900</v>
      </c>
      <c r="I316" s="2" t="s">
        <v>16</v>
      </c>
      <c r="J316" s="2"/>
      <c r="K316" s="22">
        <f t="shared" si="4"/>
        <v>0</v>
      </c>
    </row>
    <row r="317" spans="1:11" x14ac:dyDescent="0.45">
      <c r="A317" s="5" t="s">
        <v>409</v>
      </c>
      <c r="B317" s="5">
        <v>5</v>
      </c>
      <c r="C317" s="5" t="s">
        <v>22</v>
      </c>
      <c r="D317" s="5" t="s">
        <v>23</v>
      </c>
      <c r="E317" s="5" t="s">
        <v>19</v>
      </c>
      <c r="F317" s="5" t="s">
        <v>31</v>
      </c>
      <c r="G317" s="6" t="s">
        <v>81</v>
      </c>
      <c r="H317" s="7">
        <v>15300</v>
      </c>
      <c r="I317" s="5" t="s">
        <v>20</v>
      </c>
      <c r="J317" s="5"/>
      <c r="K317" s="22">
        <f t="shared" si="4"/>
        <v>0</v>
      </c>
    </row>
    <row r="318" spans="1:11" x14ac:dyDescent="0.45">
      <c r="A318" s="2" t="s">
        <v>410</v>
      </c>
      <c r="B318" s="2">
        <v>6</v>
      </c>
      <c r="C318" s="2" t="s">
        <v>78</v>
      </c>
      <c r="D318" s="2" t="s">
        <v>23</v>
      </c>
      <c r="E318" s="2" t="s">
        <v>13</v>
      </c>
      <c r="F318" s="2" t="s">
        <v>50</v>
      </c>
      <c r="G318" s="3" t="s">
        <v>51</v>
      </c>
      <c r="H318" s="4">
        <v>6600</v>
      </c>
      <c r="I318" s="2" t="s">
        <v>16</v>
      </c>
      <c r="J318" s="2"/>
      <c r="K318" s="22">
        <f t="shared" si="4"/>
        <v>0</v>
      </c>
    </row>
    <row r="319" spans="1:11" x14ac:dyDescent="0.45">
      <c r="A319" s="5" t="s">
        <v>411</v>
      </c>
      <c r="B319" s="5">
        <v>5</v>
      </c>
      <c r="C319" s="5" t="s">
        <v>22</v>
      </c>
      <c r="D319" s="5" t="s">
        <v>23</v>
      </c>
      <c r="E319" s="5" t="s">
        <v>24</v>
      </c>
      <c r="F319" s="5" t="s">
        <v>44</v>
      </c>
      <c r="G319" s="6" t="s">
        <v>67</v>
      </c>
      <c r="H319" s="7">
        <v>10400</v>
      </c>
      <c r="I319" s="5" t="s">
        <v>27</v>
      </c>
      <c r="J319" s="5"/>
      <c r="K319" s="22">
        <f t="shared" si="4"/>
        <v>0</v>
      </c>
    </row>
    <row r="320" spans="1:11" x14ac:dyDescent="0.45">
      <c r="A320" s="2" t="s">
        <v>412</v>
      </c>
      <c r="B320" s="2">
        <v>11</v>
      </c>
      <c r="C320" s="2" t="s">
        <v>29</v>
      </c>
      <c r="D320" s="2" t="s">
        <v>30</v>
      </c>
      <c r="E320" s="2" t="s">
        <v>35</v>
      </c>
      <c r="F320" s="2" t="s">
        <v>105</v>
      </c>
      <c r="G320" s="3" t="s">
        <v>133</v>
      </c>
      <c r="H320" s="4">
        <v>14600</v>
      </c>
      <c r="I320" s="2" t="s">
        <v>38</v>
      </c>
      <c r="J320" s="2"/>
      <c r="K320" s="22">
        <f t="shared" si="4"/>
        <v>0</v>
      </c>
    </row>
    <row r="321" spans="1:11" x14ac:dyDescent="0.45">
      <c r="A321" s="5" t="s">
        <v>413</v>
      </c>
      <c r="B321" s="5">
        <v>8</v>
      </c>
      <c r="C321" s="5" t="s">
        <v>60</v>
      </c>
      <c r="D321" s="5" t="s">
        <v>41</v>
      </c>
      <c r="E321" s="5" t="s">
        <v>71</v>
      </c>
      <c r="F321" s="5" t="s">
        <v>63</v>
      </c>
      <c r="G321" s="6" t="s">
        <v>64</v>
      </c>
      <c r="H321" s="7">
        <v>18300</v>
      </c>
      <c r="I321" s="5" t="s">
        <v>72</v>
      </c>
      <c r="J321" s="5" t="s">
        <v>108</v>
      </c>
      <c r="K321" s="22">
        <f t="shared" si="4"/>
        <v>1</v>
      </c>
    </row>
    <row r="322" spans="1:11" x14ac:dyDescent="0.45">
      <c r="A322" s="2" t="s">
        <v>414</v>
      </c>
      <c r="B322" s="2">
        <v>2</v>
      </c>
      <c r="C322" s="2" t="s">
        <v>11</v>
      </c>
      <c r="D322" s="2" t="s">
        <v>12</v>
      </c>
      <c r="E322" s="2" t="s">
        <v>19</v>
      </c>
      <c r="F322" s="2" t="s">
        <v>53</v>
      </c>
      <c r="G322" s="3" t="s">
        <v>54</v>
      </c>
      <c r="H322" s="4">
        <v>12000</v>
      </c>
      <c r="I322" s="2" t="s">
        <v>20</v>
      </c>
      <c r="J322" s="2" t="s">
        <v>415</v>
      </c>
      <c r="K322" s="22">
        <f t="shared" si="4"/>
        <v>2</v>
      </c>
    </row>
    <row r="323" spans="1:11" x14ac:dyDescent="0.45">
      <c r="A323" s="5" t="s">
        <v>416</v>
      </c>
      <c r="B323" s="5">
        <v>1</v>
      </c>
      <c r="C323" s="5" t="s">
        <v>66</v>
      </c>
      <c r="D323" s="5" t="s">
        <v>12</v>
      </c>
      <c r="E323" s="5" t="s">
        <v>57</v>
      </c>
      <c r="F323" s="5" t="s">
        <v>63</v>
      </c>
      <c r="G323" s="6" t="s">
        <v>69</v>
      </c>
      <c r="H323" s="7">
        <v>7900</v>
      </c>
      <c r="I323" s="5" t="s">
        <v>58</v>
      </c>
      <c r="J323" s="5"/>
      <c r="K323" s="22">
        <f t="shared" ref="K323:K386" si="5">IF(J323=$N$2,0,IF(J323=$N$3,1,IF(J323=$N$4,2)))</f>
        <v>0</v>
      </c>
    </row>
    <row r="324" spans="1:11" x14ac:dyDescent="0.45">
      <c r="A324" s="2" t="s">
        <v>417</v>
      </c>
      <c r="B324" s="2">
        <v>11</v>
      </c>
      <c r="C324" s="2" t="s">
        <v>29</v>
      </c>
      <c r="D324" s="2" t="s">
        <v>30</v>
      </c>
      <c r="E324" s="2" t="s">
        <v>35</v>
      </c>
      <c r="F324" s="2" t="s">
        <v>14</v>
      </c>
      <c r="G324" s="3" t="s">
        <v>48</v>
      </c>
      <c r="H324" s="4">
        <v>129800</v>
      </c>
      <c r="I324" s="2" t="s">
        <v>38</v>
      </c>
      <c r="J324" s="2"/>
      <c r="K324" s="22">
        <f t="shared" si="5"/>
        <v>0</v>
      </c>
    </row>
    <row r="325" spans="1:11" x14ac:dyDescent="0.45">
      <c r="A325" s="5" t="s">
        <v>418</v>
      </c>
      <c r="B325" s="5">
        <v>3</v>
      </c>
      <c r="C325" s="5" t="s">
        <v>18</v>
      </c>
      <c r="D325" s="5" t="s">
        <v>12</v>
      </c>
      <c r="E325" s="5" t="s">
        <v>24</v>
      </c>
      <c r="F325" s="5" t="s">
        <v>14</v>
      </c>
      <c r="G325" s="6" t="s">
        <v>42</v>
      </c>
      <c r="H325" s="7">
        <v>176500</v>
      </c>
      <c r="I325" s="5" t="s">
        <v>27</v>
      </c>
      <c r="J325" s="5"/>
      <c r="K325" s="22">
        <f t="shared" si="5"/>
        <v>0</v>
      </c>
    </row>
    <row r="326" spans="1:11" x14ac:dyDescent="0.45">
      <c r="A326" s="2" t="s">
        <v>419</v>
      </c>
      <c r="B326" s="2">
        <v>2</v>
      </c>
      <c r="C326" s="2" t="s">
        <v>11</v>
      </c>
      <c r="D326" s="2" t="s">
        <v>12</v>
      </c>
      <c r="E326" s="2" t="s">
        <v>19</v>
      </c>
      <c r="F326" s="2" t="s">
        <v>14</v>
      </c>
      <c r="G326" s="3" t="s">
        <v>48</v>
      </c>
      <c r="H326" s="4">
        <v>256800</v>
      </c>
      <c r="I326" s="2" t="s">
        <v>20</v>
      </c>
      <c r="J326" s="2"/>
      <c r="K326" s="22">
        <f t="shared" si="5"/>
        <v>0</v>
      </c>
    </row>
    <row r="327" spans="1:11" x14ac:dyDescent="0.45">
      <c r="A327" s="5" t="s">
        <v>420</v>
      </c>
      <c r="B327" s="5">
        <v>10</v>
      </c>
      <c r="C327" s="5" t="s">
        <v>40</v>
      </c>
      <c r="D327" s="5" t="s">
        <v>30</v>
      </c>
      <c r="E327" s="5" t="s">
        <v>57</v>
      </c>
      <c r="F327" s="5" t="s">
        <v>14</v>
      </c>
      <c r="G327" s="6" t="s">
        <v>15</v>
      </c>
      <c r="H327" s="7">
        <v>3100</v>
      </c>
      <c r="I327" s="5" t="s">
        <v>58</v>
      </c>
      <c r="J327" s="5"/>
      <c r="K327" s="22">
        <f t="shared" si="5"/>
        <v>0</v>
      </c>
    </row>
    <row r="328" spans="1:11" x14ac:dyDescent="0.45">
      <c r="A328" s="2" t="s">
        <v>421</v>
      </c>
      <c r="B328" s="2">
        <v>12</v>
      </c>
      <c r="C328" s="2" t="s">
        <v>34</v>
      </c>
      <c r="D328" s="2" t="s">
        <v>30</v>
      </c>
      <c r="E328" s="2" t="s">
        <v>57</v>
      </c>
      <c r="F328" s="2" t="s">
        <v>85</v>
      </c>
      <c r="G328" s="3" t="s">
        <v>159</v>
      </c>
      <c r="H328" s="4">
        <v>1700</v>
      </c>
      <c r="I328" s="2" t="s">
        <v>58</v>
      </c>
      <c r="J328" s="2"/>
      <c r="K328" s="22">
        <f t="shared" si="5"/>
        <v>0</v>
      </c>
    </row>
    <row r="329" spans="1:11" x14ac:dyDescent="0.45">
      <c r="A329" s="5" t="s">
        <v>422</v>
      </c>
      <c r="B329" s="5">
        <v>12</v>
      </c>
      <c r="C329" s="5" t="s">
        <v>34</v>
      </c>
      <c r="D329" s="5" t="s">
        <v>30</v>
      </c>
      <c r="E329" s="5" t="s">
        <v>13</v>
      </c>
      <c r="F329" s="5" t="s">
        <v>50</v>
      </c>
      <c r="G329" s="6" t="s">
        <v>144</v>
      </c>
      <c r="H329" s="7">
        <v>14900</v>
      </c>
      <c r="I329" s="5" t="s">
        <v>16</v>
      </c>
      <c r="J329" s="5"/>
      <c r="K329" s="22">
        <f t="shared" si="5"/>
        <v>0</v>
      </c>
    </row>
    <row r="330" spans="1:11" x14ac:dyDescent="0.45">
      <c r="A330" s="2" t="s">
        <v>423</v>
      </c>
      <c r="B330" s="2">
        <v>5</v>
      </c>
      <c r="C330" s="2" t="s">
        <v>22</v>
      </c>
      <c r="D330" s="2" t="s">
        <v>23</v>
      </c>
      <c r="E330" s="2" t="s">
        <v>57</v>
      </c>
      <c r="F330" s="2" t="s">
        <v>85</v>
      </c>
      <c r="G330" s="3" t="s">
        <v>86</v>
      </c>
      <c r="H330" s="4">
        <v>27900</v>
      </c>
      <c r="I330" s="2" t="s">
        <v>58</v>
      </c>
      <c r="J330" s="2"/>
      <c r="K330" s="22">
        <f t="shared" si="5"/>
        <v>0</v>
      </c>
    </row>
    <row r="331" spans="1:11" x14ac:dyDescent="0.45">
      <c r="A331" s="5" t="s">
        <v>424</v>
      </c>
      <c r="B331" s="5">
        <v>7</v>
      </c>
      <c r="C331" s="5" t="s">
        <v>56</v>
      </c>
      <c r="D331" s="5" t="s">
        <v>41</v>
      </c>
      <c r="E331" s="5" t="s">
        <v>35</v>
      </c>
      <c r="F331" s="5" t="s">
        <v>105</v>
      </c>
      <c r="G331" s="6" t="s">
        <v>106</v>
      </c>
      <c r="H331" s="7">
        <v>34000</v>
      </c>
      <c r="I331" s="5" t="s">
        <v>38</v>
      </c>
      <c r="J331" s="5"/>
      <c r="K331" s="22">
        <f t="shared" si="5"/>
        <v>0</v>
      </c>
    </row>
    <row r="332" spans="1:11" x14ac:dyDescent="0.45">
      <c r="A332" s="2" t="s">
        <v>425</v>
      </c>
      <c r="B332" s="2">
        <v>12</v>
      </c>
      <c r="C332" s="2" t="s">
        <v>34</v>
      </c>
      <c r="D332" s="2" t="s">
        <v>30</v>
      </c>
      <c r="E332" s="2" t="s">
        <v>71</v>
      </c>
      <c r="F332" s="2" t="s">
        <v>14</v>
      </c>
      <c r="G332" s="3" t="s">
        <v>15</v>
      </c>
      <c r="H332" s="4">
        <v>24200</v>
      </c>
      <c r="I332" s="2" t="s">
        <v>72</v>
      </c>
      <c r="J332" s="2"/>
      <c r="K332" s="22">
        <f t="shared" si="5"/>
        <v>0</v>
      </c>
    </row>
    <row r="333" spans="1:11" x14ac:dyDescent="0.45">
      <c r="A333" s="5" t="s">
        <v>426</v>
      </c>
      <c r="B333" s="5">
        <v>1</v>
      </c>
      <c r="C333" s="5" t="s">
        <v>66</v>
      </c>
      <c r="D333" s="5" t="s">
        <v>12</v>
      </c>
      <c r="E333" s="5" t="s">
        <v>24</v>
      </c>
      <c r="F333" s="5" t="s">
        <v>14</v>
      </c>
      <c r="G333" s="6" t="s">
        <v>15</v>
      </c>
      <c r="H333" s="7">
        <v>35600</v>
      </c>
      <c r="I333" s="5" t="s">
        <v>27</v>
      </c>
      <c r="J333" s="5"/>
      <c r="K333" s="22">
        <f t="shared" si="5"/>
        <v>0</v>
      </c>
    </row>
    <row r="334" spans="1:11" x14ac:dyDescent="0.45">
      <c r="A334" s="2" t="s">
        <v>427</v>
      </c>
      <c r="B334" s="2">
        <v>5</v>
      </c>
      <c r="C334" s="2" t="s">
        <v>22</v>
      </c>
      <c r="D334" s="2" t="s">
        <v>23</v>
      </c>
      <c r="E334" s="2" t="s">
        <v>13</v>
      </c>
      <c r="F334" s="2" t="s">
        <v>102</v>
      </c>
      <c r="G334" s="3" t="s">
        <v>103</v>
      </c>
      <c r="H334" s="4">
        <v>72500</v>
      </c>
      <c r="I334" s="2" t="s">
        <v>16</v>
      </c>
      <c r="J334" s="2" t="s">
        <v>108</v>
      </c>
      <c r="K334" s="22">
        <f t="shared" si="5"/>
        <v>1</v>
      </c>
    </row>
    <row r="335" spans="1:11" x14ac:dyDescent="0.45">
      <c r="A335" s="5" t="s">
        <v>428</v>
      </c>
      <c r="B335" s="5">
        <v>8</v>
      </c>
      <c r="C335" s="5" t="s">
        <v>60</v>
      </c>
      <c r="D335" s="5" t="s">
        <v>41</v>
      </c>
      <c r="E335" s="5" t="s">
        <v>71</v>
      </c>
      <c r="F335" s="5" t="s">
        <v>63</v>
      </c>
      <c r="G335" s="6" t="s">
        <v>97</v>
      </c>
      <c r="H335" s="7">
        <v>16700</v>
      </c>
      <c r="I335" s="5" t="s">
        <v>72</v>
      </c>
      <c r="J335" s="5" t="s">
        <v>108</v>
      </c>
      <c r="K335" s="22">
        <f t="shared" si="5"/>
        <v>1</v>
      </c>
    </row>
    <row r="336" spans="1:11" x14ac:dyDescent="0.45">
      <c r="A336" s="2" t="s">
        <v>429</v>
      </c>
      <c r="B336" s="2">
        <v>7</v>
      </c>
      <c r="C336" s="2" t="s">
        <v>56</v>
      </c>
      <c r="D336" s="2" t="s">
        <v>41</v>
      </c>
      <c r="E336" s="2" t="s">
        <v>71</v>
      </c>
      <c r="F336" s="2" t="s">
        <v>63</v>
      </c>
      <c r="G336" s="3" t="s">
        <v>97</v>
      </c>
      <c r="H336" s="4">
        <v>39200</v>
      </c>
      <c r="I336" s="2" t="s">
        <v>72</v>
      </c>
      <c r="J336" s="2" t="s">
        <v>108</v>
      </c>
      <c r="K336" s="22">
        <f t="shared" si="5"/>
        <v>1</v>
      </c>
    </row>
    <row r="337" spans="1:11" x14ac:dyDescent="0.45">
      <c r="A337" s="5" t="s">
        <v>430</v>
      </c>
      <c r="B337" s="5">
        <v>9</v>
      </c>
      <c r="C337" s="5" t="s">
        <v>40</v>
      </c>
      <c r="D337" s="5" t="s">
        <v>41</v>
      </c>
      <c r="E337" s="5" t="s">
        <v>24</v>
      </c>
      <c r="F337" s="5" t="s">
        <v>36</v>
      </c>
      <c r="G337" s="6" t="s">
        <v>111</v>
      </c>
      <c r="H337" s="7">
        <v>45800</v>
      </c>
      <c r="I337" s="5" t="s">
        <v>27</v>
      </c>
      <c r="J337" s="5"/>
      <c r="K337" s="22">
        <f t="shared" si="5"/>
        <v>0</v>
      </c>
    </row>
    <row r="338" spans="1:11" x14ac:dyDescent="0.45">
      <c r="A338" s="2" t="s">
        <v>431</v>
      </c>
      <c r="B338" s="2">
        <v>1</v>
      </c>
      <c r="C338" s="2" t="s">
        <v>66</v>
      </c>
      <c r="D338" s="2" t="s">
        <v>12</v>
      </c>
      <c r="E338" s="2" t="s">
        <v>24</v>
      </c>
      <c r="F338" s="2" t="s">
        <v>36</v>
      </c>
      <c r="G338" s="3" t="s">
        <v>37</v>
      </c>
      <c r="H338" s="4">
        <v>40200</v>
      </c>
      <c r="I338" s="2" t="s">
        <v>27</v>
      </c>
      <c r="J338" s="2"/>
      <c r="K338" s="22">
        <f t="shared" si="5"/>
        <v>0</v>
      </c>
    </row>
    <row r="339" spans="1:11" x14ac:dyDescent="0.45">
      <c r="A339" s="5" t="s">
        <v>432</v>
      </c>
      <c r="B339" s="5">
        <v>9</v>
      </c>
      <c r="C339" s="5" t="s">
        <v>40</v>
      </c>
      <c r="D339" s="5" t="s">
        <v>41</v>
      </c>
      <c r="E339" s="5" t="s">
        <v>57</v>
      </c>
      <c r="F339" s="5" t="s">
        <v>85</v>
      </c>
      <c r="G339" s="6" t="s">
        <v>86</v>
      </c>
      <c r="H339" s="7">
        <v>13000</v>
      </c>
      <c r="I339" s="5" t="s">
        <v>58</v>
      </c>
      <c r="J339" s="5"/>
      <c r="K339" s="22">
        <f t="shared" si="5"/>
        <v>0</v>
      </c>
    </row>
    <row r="340" spans="1:11" x14ac:dyDescent="0.45">
      <c r="A340" s="2" t="s">
        <v>433</v>
      </c>
      <c r="B340" s="2">
        <v>4</v>
      </c>
      <c r="C340" s="2" t="s">
        <v>47</v>
      </c>
      <c r="D340" s="2" t="s">
        <v>23</v>
      </c>
      <c r="E340" s="2" t="s">
        <v>35</v>
      </c>
      <c r="F340" s="2" t="s">
        <v>36</v>
      </c>
      <c r="G340" s="3" t="s">
        <v>37</v>
      </c>
      <c r="H340" s="4">
        <v>28600</v>
      </c>
      <c r="I340" s="2" t="s">
        <v>38</v>
      </c>
      <c r="J340" s="2"/>
      <c r="K340" s="22">
        <f t="shared" si="5"/>
        <v>0</v>
      </c>
    </row>
    <row r="341" spans="1:11" x14ac:dyDescent="0.45">
      <c r="A341" s="5" t="s">
        <v>434</v>
      </c>
      <c r="B341" s="5">
        <v>1</v>
      </c>
      <c r="C341" s="5" t="s">
        <v>66</v>
      </c>
      <c r="D341" s="5" t="s">
        <v>12</v>
      </c>
      <c r="E341" s="5" t="s">
        <v>35</v>
      </c>
      <c r="F341" s="5" t="s">
        <v>14</v>
      </c>
      <c r="G341" s="6" t="s">
        <v>48</v>
      </c>
      <c r="H341" s="7">
        <v>119700</v>
      </c>
      <c r="I341" s="5" t="s">
        <v>38</v>
      </c>
      <c r="J341" s="5"/>
      <c r="K341" s="22">
        <f t="shared" si="5"/>
        <v>0</v>
      </c>
    </row>
    <row r="342" spans="1:11" x14ac:dyDescent="0.45">
      <c r="A342" s="2" t="s">
        <v>435</v>
      </c>
      <c r="B342" s="2">
        <v>11</v>
      </c>
      <c r="C342" s="2" t="s">
        <v>29</v>
      </c>
      <c r="D342" s="2" t="s">
        <v>30</v>
      </c>
      <c r="E342" s="2" t="s">
        <v>24</v>
      </c>
      <c r="F342" s="2" t="s">
        <v>25</v>
      </c>
      <c r="G342" s="3" t="s">
        <v>100</v>
      </c>
      <c r="H342" s="4">
        <v>7300</v>
      </c>
      <c r="I342" s="2" t="s">
        <v>27</v>
      </c>
      <c r="J342" s="2" t="s">
        <v>108</v>
      </c>
      <c r="K342" s="22">
        <f t="shared" si="5"/>
        <v>1</v>
      </c>
    </row>
    <row r="343" spans="1:11" x14ac:dyDescent="0.45">
      <c r="A343" s="5" t="s">
        <v>436</v>
      </c>
      <c r="B343" s="5">
        <v>11</v>
      </c>
      <c r="C343" s="5" t="s">
        <v>29</v>
      </c>
      <c r="D343" s="5" t="s">
        <v>30</v>
      </c>
      <c r="E343" s="5" t="s">
        <v>19</v>
      </c>
      <c r="F343" s="5" t="s">
        <v>31</v>
      </c>
      <c r="G343" s="6" t="s">
        <v>32</v>
      </c>
      <c r="H343" s="7">
        <v>23000</v>
      </c>
      <c r="I343" s="5" t="s">
        <v>20</v>
      </c>
      <c r="J343" s="5"/>
      <c r="K343" s="22">
        <f t="shared" si="5"/>
        <v>0</v>
      </c>
    </row>
    <row r="344" spans="1:11" x14ac:dyDescent="0.45">
      <c r="A344" s="2" t="s">
        <v>437</v>
      </c>
      <c r="B344" s="2">
        <v>1</v>
      </c>
      <c r="C344" s="2" t="s">
        <v>66</v>
      </c>
      <c r="D344" s="2" t="s">
        <v>12</v>
      </c>
      <c r="E344" s="2" t="s">
        <v>19</v>
      </c>
      <c r="F344" s="2" t="s">
        <v>31</v>
      </c>
      <c r="G344" s="3" t="s">
        <v>79</v>
      </c>
      <c r="H344" s="4">
        <v>10500</v>
      </c>
      <c r="I344" s="2" t="s">
        <v>20</v>
      </c>
      <c r="J344" s="2"/>
      <c r="K344" s="22">
        <f t="shared" si="5"/>
        <v>0</v>
      </c>
    </row>
    <row r="345" spans="1:11" x14ac:dyDescent="0.45">
      <c r="A345" s="5" t="s">
        <v>438</v>
      </c>
      <c r="B345" s="5">
        <v>9</v>
      </c>
      <c r="C345" s="5" t="s">
        <v>40</v>
      </c>
      <c r="D345" s="5" t="s">
        <v>41</v>
      </c>
      <c r="E345" s="5" t="s">
        <v>57</v>
      </c>
      <c r="F345" s="5" t="s">
        <v>14</v>
      </c>
      <c r="G345" s="6" t="s">
        <v>42</v>
      </c>
      <c r="H345" s="7">
        <v>331400</v>
      </c>
      <c r="I345" s="5" t="s">
        <v>58</v>
      </c>
      <c r="J345" s="5"/>
      <c r="K345" s="22">
        <f t="shared" si="5"/>
        <v>0</v>
      </c>
    </row>
    <row r="346" spans="1:11" x14ac:dyDescent="0.45">
      <c r="A346" s="2" t="s">
        <v>439</v>
      </c>
      <c r="B346" s="2">
        <v>3</v>
      </c>
      <c r="C346" s="2" t="s">
        <v>18</v>
      </c>
      <c r="D346" s="2" t="s">
        <v>12</v>
      </c>
      <c r="E346" s="2" t="s">
        <v>13</v>
      </c>
      <c r="F346" s="2" t="s">
        <v>63</v>
      </c>
      <c r="G346" s="3" t="s">
        <v>64</v>
      </c>
      <c r="H346" s="4">
        <v>3800</v>
      </c>
      <c r="I346" s="2" t="s">
        <v>16</v>
      </c>
      <c r="J346" s="2"/>
      <c r="K346" s="22">
        <f t="shared" si="5"/>
        <v>0</v>
      </c>
    </row>
    <row r="347" spans="1:11" x14ac:dyDescent="0.45">
      <c r="A347" s="5" t="s">
        <v>440</v>
      </c>
      <c r="B347" s="5">
        <v>2</v>
      </c>
      <c r="C347" s="5" t="s">
        <v>11</v>
      </c>
      <c r="D347" s="5" t="s">
        <v>12</v>
      </c>
      <c r="E347" s="5" t="s">
        <v>24</v>
      </c>
      <c r="F347" s="5" t="s">
        <v>44</v>
      </c>
      <c r="G347" s="6" t="s">
        <v>45</v>
      </c>
      <c r="H347" s="7">
        <v>3000</v>
      </c>
      <c r="I347" s="5" t="s">
        <v>27</v>
      </c>
      <c r="J347" s="5"/>
      <c r="K347" s="22">
        <f t="shared" si="5"/>
        <v>0</v>
      </c>
    </row>
    <row r="348" spans="1:11" x14ac:dyDescent="0.45">
      <c r="A348" s="2" t="s">
        <v>441</v>
      </c>
      <c r="B348" s="2">
        <v>2</v>
      </c>
      <c r="C348" s="2" t="s">
        <v>11</v>
      </c>
      <c r="D348" s="2" t="s">
        <v>12</v>
      </c>
      <c r="E348" s="2" t="s">
        <v>35</v>
      </c>
      <c r="F348" s="2" t="s">
        <v>75</v>
      </c>
      <c r="G348" s="3" t="s">
        <v>76</v>
      </c>
      <c r="H348" s="4">
        <v>5800</v>
      </c>
      <c r="I348" s="2" t="s">
        <v>38</v>
      </c>
      <c r="J348" s="2"/>
      <c r="K348" s="22">
        <f t="shared" si="5"/>
        <v>0</v>
      </c>
    </row>
    <row r="349" spans="1:11" x14ac:dyDescent="0.45">
      <c r="A349" s="5" t="s">
        <v>442</v>
      </c>
      <c r="B349" s="5">
        <v>10</v>
      </c>
      <c r="C349" s="5" t="s">
        <v>40</v>
      </c>
      <c r="D349" s="5" t="s">
        <v>30</v>
      </c>
      <c r="E349" s="5" t="s">
        <v>71</v>
      </c>
      <c r="F349" s="5" t="s">
        <v>14</v>
      </c>
      <c r="G349" s="6" t="s">
        <v>42</v>
      </c>
      <c r="H349" s="7">
        <v>73300</v>
      </c>
      <c r="I349" s="5" t="s">
        <v>72</v>
      </c>
      <c r="J349" s="5"/>
      <c r="K349" s="22">
        <f t="shared" si="5"/>
        <v>0</v>
      </c>
    </row>
    <row r="350" spans="1:11" x14ac:dyDescent="0.45">
      <c r="A350" s="2" t="s">
        <v>443</v>
      </c>
      <c r="B350" s="2">
        <v>3</v>
      </c>
      <c r="C350" s="2" t="s">
        <v>18</v>
      </c>
      <c r="D350" s="2" t="s">
        <v>12</v>
      </c>
      <c r="E350" s="2" t="s">
        <v>35</v>
      </c>
      <c r="F350" s="2" t="s">
        <v>14</v>
      </c>
      <c r="G350" s="3" t="s">
        <v>15</v>
      </c>
      <c r="H350" s="4">
        <v>205100</v>
      </c>
      <c r="I350" s="2" t="s">
        <v>38</v>
      </c>
      <c r="J350" s="2"/>
      <c r="K350" s="22">
        <f t="shared" si="5"/>
        <v>0</v>
      </c>
    </row>
    <row r="351" spans="1:11" x14ac:dyDescent="0.45">
      <c r="A351" s="5" t="s">
        <v>444</v>
      </c>
      <c r="B351" s="5">
        <v>7</v>
      </c>
      <c r="C351" s="5" t="s">
        <v>56</v>
      </c>
      <c r="D351" s="5" t="s">
        <v>41</v>
      </c>
      <c r="E351" s="5" t="s">
        <v>19</v>
      </c>
      <c r="F351" s="5" t="s">
        <v>53</v>
      </c>
      <c r="G351" s="6" t="s">
        <v>164</v>
      </c>
      <c r="H351" s="7">
        <v>700</v>
      </c>
      <c r="I351" s="5" t="s">
        <v>20</v>
      </c>
      <c r="J351" s="5"/>
      <c r="K351" s="22">
        <f t="shared" si="5"/>
        <v>0</v>
      </c>
    </row>
    <row r="352" spans="1:11" x14ac:dyDescent="0.45">
      <c r="A352" s="2" t="s">
        <v>445</v>
      </c>
      <c r="B352" s="2">
        <v>11</v>
      </c>
      <c r="C352" s="2" t="s">
        <v>29</v>
      </c>
      <c r="D352" s="2" t="s">
        <v>30</v>
      </c>
      <c r="E352" s="2" t="s">
        <v>24</v>
      </c>
      <c r="F352" s="2" t="s">
        <v>25</v>
      </c>
      <c r="G352" s="3" t="s">
        <v>100</v>
      </c>
      <c r="H352" s="4">
        <v>2700</v>
      </c>
      <c r="I352" s="2" t="s">
        <v>27</v>
      </c>
      <c r="J352" s="2" t="s">
        <v>108</v>
      </c>
      <c r="K352" s="22">
        <f t="shared" si="5"/>
        <v>1</v>
      </c>
    </row>
    <row r="353" spans="1:11" x14ac:dyDescent="0.45">
      <c r="A353" s="5" t="s">
        <v>446</v>
      </c>
      <c r="B353" s="5">
        <v>10</v>
      </c>
      <c r="C353" s="5" t="s">
        <v>40</v>
      </c>
      <c r="D353" s="5" t="s">
        <v>30</v>
      </c>
      <c r="E353" s="5" t="s">
        <v>35</v>
      </c>
      <c r="F353" s="5" t="s">
        <v>75</v>
      </c>
      <c r="G353" s="6" t="s">
        <v>76</v>
      </c>
      <c r="H353" s="7">
        <v>700</v>
      </c>
      <c r="I353" s="5" t="s">
        <v>38</v>
      </c>
      <c r="J353" s="5"/>
      <c r="K353" s="22">
        <f t="shared" si="5"/>
        <v>0</v>
      </c>
    </row>
    <row r="354" spans="1:11" x14ac:dyDescent="0.45">
      <c r="A354" s="2" t="s">
        <v>447</v>
      </c>
      <c r="B354" s="2">
        <v>8</v>
      </c>
      <c r="C354" s="2" t="s">
        <v>60</v>
      </c>
      <c r="D354" s="2" t="s">
        <v>41</v>
      </c>
      <c r="E354" s="2" t="s">
        <v>13</v>
      </c>
      <c r="F354" s="2" t="s">
        <v>63</v>
      </c>
      <c r="G354" s="3" t="s">
        <v>97</v>
      </c>
      <c r="H354" s="4">
        <v>12400</v>
      </c>
      <c r="I354" s="2" t="s">
        <v>16</v>
      </c>
      <c r="J354" s="2"/>
      <c r="K354" s="22">
        <f t="shared" si="5"/>
        <v>0</v>
      </c>
    </row>
    <row r="355" spans="1:11" x14ac:dyDescent="0.45">
      <c r="A355" s="5" t="s">
        <v>448</v>
      </c>
      <c r="B355" s="5">
        <v>11</v>
      </c>
      <c r="C355" s="5" t="s">
        <v>29</v>
      </c>
      <c r="D355" s="5" t="s">
        <v>30</v>
      </c>
      <c r="E355" s="5" t="s">
        <v>13</v>
      </c>
      <c r="F355" s="5" t="s">
        <v>50</v>
      </c>
      <c r="G355" s="6" t="s">
        <v>144</v>
      </c>
      <c r="H355" s="7">
        <v>15800</v>
      </c>
      <c r="I355" s="5" t="s">
        <v>16</v>
      </c>
      <c r="J355" s="5"/>
      <c r="K355" s="22">
        <f t="shared" si="5"/>
        <v>0</v>
      </c>
    </row>
    <row r="356" spans="1:11" x14ac:dyDescent="0.45">
      <c r="A356" s="2" t="s">
        <v>449</v>
      </c>
      <c r="B356" s="2">
        <v>4</v>
      </c>
      <c r="C356" s="2" t="s">
        <v>47</v>
      </c>
      <c r="D356" s="2" t="s">
        <v>23</v>
      </c>
      <c r="E356" s="2" t="s">
        <v>71</v>
      </c>
      <c r="F356" s="2" t="s">
        <v>94</v>
      </c>
      <c r="G356" s="3" t="s">
        <v>95</v>
      </c>
      <c r="H356" s="4">
        <v>2800</v>
      </c>
      <c r="I356" s="2" t="s">
        <v>72</v>
      </c>
      <c r="J356" s="2"/>
      <c r="K356" s="22">
        <f t="shared" si="5"/>
        <v>0</v>
      </c>
    </row>
    <row r="357" spans="1:11" x14ac:dyDescent="0.45">
      <c r="A357" s="5" t="s">
        <v>450</v>
      </c>
      <c r="B357" s="5">
        <v>1</v>
      </c>
      <c r="C357" s="5" t="s">
        <v>66</v>
      </c>
      <c r="D357" s="5" t="s">
        <v>12</v>
      </c>
      <c r="E357" s="5" t="s">
        <v>24</v>
      </c>
      <c r="F357" s="5" t="s">
        <v>25</v>
      </c>
      <c r="G357" s="6" t="s">
        <v>26</v>
      </c>
      <c r="H357" s="7">
        <v>24200</v>
      </c>
      <c r="I357" s="5" t="s">
        <v>27</v>
      </c>
      <c r="J357" s="5"/>
      <c r="K357" s="22">
        <f t="shared" si="5"/>
        <v>0</v>
      </c>
    </row>
    <row r="358" spans="1:11" x14ac:dyDescent="0.45">
      <c r="A358" s="2" t="s">
        <v>451</v>
      </c>
      <c r="B358" s="2">
        <v>7</v>
      </c>
      <c r="C358" s="2" t="s">
        <v>56</v>
      </c>
      <c r="D358" s="2" t="s">
        <v>41</v>
      </c>
      <c r="E358" s="2" t="s">
        <v>24</v>
      </c>
      <c r="F358" s="2" t="s">
        <v>14</v>
      </c>
      <c r="G358" s="3" t="s">
        <v>15</v>
      </c>
      <c r="H358" s="4">
        <v>20700</v>
      </c>
      <c r="I358" s="2" t="s">
        <v>27</v>
      </c>
      <c r="J358" s="2"/>
      <c r="K358" s="22">
        <f t="shared" si="5"/>
        <v>0</v>
      </c>
    </row>
    <row r="359" spans="1:11" x14ac:dyDescent="0.45">
      <c r="A359" s="5" t="s">
        <v>452</v>
      </c>
      <c r="B359" s="5">
        <v>7</v>
      </c>
      <c r="C359" s="5" t="s">
        <v>56</v>
      </c>
      <c r="D359" s="5" t="s">
        <v>41</v>
      </c>
      <c r="E359" s="5" t="s">
        <v>71</v>
      </c>
      <c r="F359" s="5" t="s">
        <v>14</v>
      </c>
      <c r="G359" s="6" t="s">
        <v>15</v>
      </c>
      <c r="H359" s="7">
        <v>80900</v>
      </c>
      <c r="I359" s="5" t="s">
        <v>72</v>
      </c>
      <c r="J359" s="5"/>
      <c r="K359" s="22">
        <f t="shared" si="5"/>
        <v>0</v>
      </c>
    </row>
    <row r="360" spans="1:11" x14ac:dyDescent="0.45">
      <c r="A360" s="2" t="s">
        <v>453</v>
      </c>
      <c r="B360" s="2">
        <v>6</v>
      </c>
      <c r="C360" s="2" t="s">
        <v>78</v>
      </c>
      <c r="D360" s="2" t="s">
        <v>23</v>
      </c>
      <c r="E360" s="2" t="s">
        <v>57</v>
      </c>
      <c r="F360" s="2" t="s">
        <v>75</v>
      </c>
      <c r="G360" s="3" t="s">
        <v>76</v>
      </c>
      <c r="H360" s="4">
        <v>9700</v>
      </c>
      <c r="I360" s="2" t="s">
        <v>58</v>
      </c>
      <c r="J360" s="2"/>
      <c r="K360" s="22">
        <f t="shared" si="5"/>
        <v>0</v>
      </c>
    </row>
    <row r="361" spans="1:11" x14ac:dyDescent="0.45">
      <c r="A361" s="5" t="s">
        <v>454</v>
      </c>
      <c r="B361" s="5">
        <v>10</v>
      </c>
      <c r="C361" s="5" t="s">
        <v>40</v>
      </c>
      <c r="D361" s="5" t="s">
        <v>30</v>
      </c>
      <c r="E361" s="5" t="s">
        <v>57</v>
      </c>
      <c r="F361" s="5" t="s">
        <v>14</v>
      </c>
      <c r="G361" s="6" t="s">
        <v>48</v>
      </c>
      <c r="H361" s="7">
        <v>283100</v>
      </c>
      <c r="I361" s="5" t="s">
        <v>58</v>
      </c>
      <c r="J361" s="5"/>
      <c r="K361" s="22">
        <f t="shared" si="5"/>
        <v>0</v>
      </c>
    </row>
    <row r="362" spans="1:11" x14ac:dyDescent="0.45">
      <c r="A362" s="2" t="s">
        <v>455</v>
      </c>
      <c r="B362" s="2">
        <v>6</v>
      </c>
      <c r="C362" s="2" t="s">
        <v>78</v>
      </c>
      <c r="D362" s="2" t="s">
        <v>23</v>
      </c>
      <c r="E362" s="2" t="s">
        <v>71</v>
      </c>
      <c r="F362" s="2" t="s">
        <v>94</v>
      </c>
      <c r="G362" s="3" t="s">
        <v>95</v>
      </c>
      <c r="H362" s="4">
        <v>600</v>
      </c>
      <c r="I362" s="2" t="s">
        <v>72</v>
      </c>
      <c r="J362" s="2"/>
      <c r="K362" s="22">
        <f t="shared" si="5"/>
        <v>0</v>
      </c>
    </row>
    <row r="363" spans="1:11" x14ac:dyDescent="0.45">
      <c r="A363" s="5" t="s">
        <v>456</v>
      </c>
      <c r="B363" s="5">
        <v>4</v>
      </c>
      <c r="C363" s="5" t="s">
        <v>47</v>
      </c>
      <c r="D363" s="5" t="s">
        <v>23</v>
      </c>
      <c r="E363" s="5" t="s">
        <v>13</v>
      </c>
      <c r="F363" s="5" t="s">
        <v>63</v>
      </c>
      <c r="G363" s="6" t="s">
        <v>97</v>
      </c>
      <c r="H363" s="7">
        <v>13000</v>
      </c>
      <c r="I363" s="5" t="s">
        <v>16</v>
      </c>
      <c r="J363" s="5"/>
      <c r="K363" s="22">
        <f t="shared" si="5"/>
        <v>0</v>
      </c>
    </row>
    <row r="364" spans="1:11" x14ac:dyDescent="0.45">
      <c r="A364" s="2" t="s">
        <v>457</v>
      </c>
      <c r="B364" s="2">
        <v>8</v>
      </c>
      <c r="C364" s="2" t="s">
        <v>60</v>
      </c>
      <c r="D364" s="2" t="s">
        <v>41</v>
      </c>
      <c r="E364" s="2" t="s">
        <v>19</v>
      </c>
      <c r="F364" s="2" t="s">
        <v>31</v>
      </c>
      <c r="G364" s="3" t="s">
        <v>79</v>
      </c>
      <c r="H364" s="4">
        <v>31000</v>
      </c>
      <c r="I364" s="2" t="s">
        <v>20</v>
      </c>
      <c r="J364" s="2"/>
      <c r="K364" s="22">
        <f t="shared" si="5"/>
        <v>0</v>
      </c>
    </row>
    <row r="365" spans="1:11" x14ac:dyDescent="0.45">
      <c r="A365" s="5" t="s">
        <v>458</v>
      </c>
      <c r="B365" s="5">
        <v>2</v>
      </c>
      <c r="C365" s="5" t="s">
        <v>11</v>
      </c>
      <c r="D365" s="5" t="s">
        <v>12</v>
      </c>
      <c r="E365" s="5" t="s">
        <v>24</v>
      </c>
      <c r="F365" s="5" t="s">
        <v>14</v>
      </c>
      <c r="G365" s="6" t="s">
        <v>15</v>
      </c>
      <c r="H365" s="7">
        <v>126000</v>
      </c>
      <c r="I365" s="5" t="s">
        <v>27</v>
      </c>
      <c r="J365" s="5"/>
      <c r="K365" s="22">
        <f t="shared" si="5"/>
        <v>0</v>
      </c>
    </row>
    <row r="366" spans="1:11" x14ac:dyDescent="0.45">
      <c r="A366" s="2" t="s">
        <v>459</v>
      </c>
      <c r="B366" s="2">
        <v>7</v>
      </c>
      <c r="C366" s="2" t="s">
        <v>56</v>
      </c>
      <c r="D366" s="2" t="s">
        <v>41</v>
      </c>
      <c r="E366" s="2" t="s">
        <v>19</v>
      </c>
      <c r="F366" s="2" t="s">
        <v>63</v>
      </c>
      <c r="G366" s="3" t="s">
        <v>69</v>
      </c>
      <c r="H366" s="4">
        <v>100</v>
      </c>
      <c r="I366" s="2" t="s">
        <v>20</v>
      </c>
      <c r="J366" s="2"/>
      <c r="K366" s="22">
        <f t="shared" si="5"/>
        <v>0</v>
      </c>
    </row>
    <row r="367" spans="1:11" x14ac:dyDescent="0.45">
      <c r="A367" s="5" t="s">
        <v>460</v>
      </c>
      <c r="B367" s="5">
        <v>10</v>
      </c>
      <c r="C367" s="5" t="s">
        <v>40</v>
      </c>
      <c r="D367" s="5" t="s">
        <v>30</v>
      </c>
      <c r="E367" s="5" t="s">
        <v>13</v>
      </c>
      <c r="F367" s="5" t="s">
        <v>63</v>
      </c>
      <c r="G367" s="6" t="s">
        <v>69</v>
      </c>
      <c r="H367" s="7">
        <v>2300</v>
      </c>
      <c r="I367" s="5" t="s">
        <v>16</v>
      </c>
      <c r="J367" s="5"/>
      <c r="K367" s="22">
        <f t="shared" si="5"/>
        <v>0</v>
      </c>
    </row>
    <row r="368" spans="1:11" x14ac:dyDescent="0.45">
      <c r="A368" s="2" t="s">
        <v>461</v>
      </c>
      <c r="B368" s="2">
        <v>2</v>
      </c>
      <c r="C368" s="2" t="s">
        <v>11</v>
      </c>
      <c r="D368" s="2" t="s">
        <v>12</v>
      </c>
      <c r="E368" s="2" t="s">
        <v>57</v>
      </c>
      <c r="F368" s="2" t="s">
        <v>75</v>
      </c>
      <c r="G368" s="3" t="s">
        <v>76</v>
      </c>
      <c r="H368" s="4">
        <v>8700</v>
      </c>
      <c r="I368" s="2" t="s">
        <v>58</v>
      </c>
      <c r="J368" s="2"/>
      <c r="K368" s="22">
        <f t="shared" si="5"/>
        <v>0</v>
      </c>
    </row>
    <row r="369" spans="1:11" x14ac:dyDescent="0.45">
      <c r="A369" s="5" t="s">
        <v>462</v>
      </c>
      <c r="B369" s="5">
        <v>7</v>
      </c>
      <c r="C369" s="5" t="s">
        <v>56</v>
      </c>
      <c r="D369" s="5" t="s">
        <v>41</v>
      </c>
      <c r="E369" s="5" t="s">
        <v>71</v>
      </c>
      <c r="F369" s="5" t="s">
        <v>14</v>
      </c>
      <c r="G369" s="6" t="s">
        <v>48</v>
      </c>
      <c r="H369" s="7">
        <v>116300</v>
      </c>
      <c r="I369" s="5" t="s">
        <v>72</v>
      </c>
      <c r="J369" s="5"/>
      <c r="K369" s="22">
        <f t="shared" si="5"/>
        <v>0</v>
      </c>
    </row>
    <row r="370" spans="1:11" x14ac:dyDescent="0.45">
      <c r="A370" s="2" t="s">
        <v>463</v>
      </c>
      <c r="B370" s="2">
        <v>3</v>
      </c>
      <c r="C370" s="2" t="s">
        <v>18</v>
      </c>
      <c r="D370" s="2" t="s">
        <v>12</v>
      </c>
      <c r="E370" s="2" t="s">
        <v>71</v>
      </c>
      <c r="F370" s="2" t="s">
        <v>14</v>
      </c>
      <c r="G370" s="3" t="s">
        <v>15</v>
      </c>
      <c r="H370" s="4">
        <v>196900</v>
      </c>
      <c r="I370" s="2" t="s">
        <v>72</v>
      </c>
      <c r="J370" s="2"/>
      <c r="K370" s="22">
        <f t="shared" si="5"/>
        <v>0</v>
      </c>
    </row>
    <row r="371" spans="1:11" x14ac:dyDescent="0.45">
      <c r="A371" s="5" t="s">
        <v>464</v>
      </c>
      <c r="B371" s="5">
        <v>5</v>
      </c>
      <c r="C371" s="5" t="s">
        <v>22</v>
      </c>
      <c r="D371" s="5" t="s">
        <v>23</v>
      </c>
      <c r="E371" s="5" t="s">
        <v>71</v>
      </c>
      <c r="F371" s="5" t="s">
        <v>63</v>
      </c>
      <c r="G371" s="6" t="s">
        <v>97</v>
      </c>
      <c r="H371" s="7">
        <v>44600</v>
      </c>
      <c r="I371" s="5" t="s">
        <v>72</v>
      </c>
      <c r="J371" s="5"/>
      <c r="K371" s="22">
        <f t="shared" si="5"/>
        <v>0</v>
      </c>
    </row>
    <row r="372" spans="1:11" x14ac:dyDescent="0.45">
      <c r="A372" s="2" t="s">
        <v>465</v>
      </c>
      <c r="B372" s="2">
        <v>6</v>
      </c>
      <c r="C372" s="2" t="s">
        <v>78</v>
      </c>
      <c r="D372" s="2" t="s">
        <v>23</v>
      </c>
      <c r="E372" s="2" t="s">
        <v>19</v>
      </c>
      <c r="F372" s="2" t="s">
        <v>31</v>
      </c>
      <c r="G372" s="3" t="s">
        <v>81</v>
      </c>
      <c r="H372" s="4">
        <v>22700</v>
      </c>
      <c r="I372" s="2" t="s">
        <v>20</v>
      </c>
      <c r="J372" s="2"/>
      <c r="K372" s="22">
        <f t="shared" si="5"/>
        <v>0</v>
      </c>
    </row>
    <row r="373" spans="1:11" x14ac:dyDescent="0.45">
      <c r="A373" s="5" t="s">
        <v>466</v>
      </c>
      <c r="B373" s="5">
        <v>4</v>
      </c>
      <c r="C373" s="5" t="s">
        <v>47</v>
      </c>
      <c r="D373" s="5" t="s">
        <v>23</v>
      </c>
      <c r="E373" s="5" t="s">
        <v>35</v>
      </c>
      <c r="F373" s="5" t="s">
        <v>14</v>
      </c>
      <c r="G373" s="6" t="s">
        <v>15</v>
      </c>
      <c r="H373" s="7">
        <v>22200</v>
      </c>
      <c r="I373" s="5" t="s">
        <v>38</v>
      </c>
      <c r="J373" s="5"/>
      <c r="K373" s="22">
        <f t="shared" si="5"/>
        <v>0</v>
      </c>
    </row>
    <row r="374" spans="1:11" x14ac:dyDescent="0.45">
      <c r="A374" s="2" t="s">
        <v>467</v>
      </c>
      <c r="B374" s="2">
        <v>9</v>
      </c>
      <c r="C374" s="2" t="s">
        <v>40</v>
      </c>
      <c r="D374" s="2" t="s">
        <v>41</v>
      </c>
      <c r="E374" s="2" t="s">
        <v>71</v>
      </c>
      <c r="F374" s="2" t="s">
        <v>88</v>
      </c>
      <c r="G374" s="3" t="s">
        <v>258</v>
      </c>
      <c r="H374" s="4">
        <v>172400</v>
      </c>
      <c r="I374" s="2" t="s">
        <v>72</v>
      </c>
      <c r="J374" s="2" t="s">
        <v>108</v>
      </c>
      <c r="K374" s="22">
        <f t="shared" si="5"/>
        <v>1</v>
      </c>
    </row>
    <row r="375" spans="1:11" x14ac:dyDescent="0.45">
      <c r="A375" s="5" t="s">
        <v>468</v>
      </c>
      <c r="B375" s="5">
        <v>11</v>
      </c>
      <c r="C375" s="5" t="s">
        <v>29</v>
      </c>
      <c r="D375" s="5" t="s">
        <v>30</v>
      </c>
      <c r="E375" s="5" t="s">
        <v>24</v>
      </c>
      <c r="F375" s="5" t="s">
        <v>44</v>
      </c>
      <c r="G375" s="6" t="s">
        <v>45</v>
      </c>
      <c r="H375" s="7">
        <v>92800</v>
      </c>
      <c r="I375" s="5" t="s">
        <v>27</v>
      </c>
      <c r="J375" s="5"/>
      <c r="K375" s="22">
        <f t="shared" si="5"/>
        <v>0</v>
      </c>
    </row>
    <row r="376" spans="1:11" x14ac:dyDescent="0.45">
      <c r="A376" s="2" t="s">
        <v>469</v>
      </c>
      <c r="B376" s="2">
        <v>5</v>
      </c>
      <c r="C376" s="2" t="s">
        <v>22</v>
      </c>
      <c r="D376" s="2" t="s">
        <v>23</v>
      </c>
      <c r="E376" s="2" t="s">
        <v>19</v>
      </c>
      <c r="F376" s="2" t="s">
        <v>14</v>
      </c>
      <c r="G376" s="3" t="s">
        <v>15</v>
      </c>
      <c r="H376" s="4">
        <v>173200</v>
      </c>
      <c r="I376" s="2" t="s">
        <v>20</v>
      </c>
      <c r="J376" s="2"/>
      <c r="K376" s="22">
        <f t="shared" si="5"/>
        <v>0</v>
      </c>
    </row>
    <row r="377" spans="1:11" x14ac:dyDescent="0.45">
      <c r="A377" s="5" t="s">
        <v>470</v>
      </c>
      <c r="B377" s="5">
        <v>12</v>
      </c>
      <c r="C377" s="5" t="s">
        <v>34</v>
      </c>
      <c r="D377" s="5" t="s">
        <v>30</v>
      </c>
      <c r="E377" s="5" t="s">
        <v>35</v>
      </c>
      <c r="F377" s="5" t="s">
        <v>14</v>
      </c>
      <c r="G377" s="6" t="s">
        <v>15</v>
      </c>
      <c r="H377" s="7">
        <v>9300</v>
      </c>
      <c r="I377" s="5" t="s">
        <v>38</v>
      </c>
      <c r="J377" s="5"/>
      <c r="K377" s="22">
        <f t="shared" si="5"/>
        <v>0</v>
      </c>
    </row>
    <row r="378" spans="1:11" x14ac:dyDescent="0.45">
      <c r="A378" s="2" t="s">
        <v>471</v>
      </c>
      <c r="B378" s="2">
        <v>6</v>
      </c>
      <c r="C378" s="2" t="s">
        <v>78</v>
      </c>
      <c r="D378" s="2" t="s">
        <v>23</v>
      </c>
      <c r="E378" s="2" t="s">
        <v>71</v>
      </c>
      <c r="F378" s="2" t="s">
        <v>14</v>
      </c>
      <c r="G378" s="3" t="s">
        <v>48</v>
      </c>
      <c r="H378" s="4">
        <v>55900</v>
      </c>
      <c r="I378" s="2" t="s">
        <v>72</v>
      </c>
      <c r="J378" s="2"/>
      <c r="K378" s="22">
        <f t="shared" si="5"/>
        <v>0</v>
      </c>
    </row>
    <row r="379" spans="1:11" x14ac:dyDescent="0.45">
      <c r="A379" s="5" t="s">
        <v>472</v>
      </c>
      <c r="B379" s="5">
        <v>9</v>
      </c>
      <c r="C379" s="5" t="s">
        <v>40</v>
      </c>
      <c r="D379" s="5" t="s">
        <v>41</v>
      </c>
      <c r="E379" s="5" t="s">
        <v>71</v>
      </c>
      <c r="F379" s="5" t="s">
        <v>94</v>
      </c>
      <c r="G379" s="6" t="s">
        <v>157</v>
      </c>
      <c r="H379" s="7">
        <v>200</v>
      </c>
      <c r="I379" s="5" t="s">
        <v>72</v>
      </c>
      <c r="J379" s="5"/>
      <c r="K379" s="22">
        <f t="shared" si="5"/>
        <v>0</v>
      </c>
    </row>
    <row r="380" spans="1:11" x14ac:dyDescent="0.45">
      <c r="A380" s="2" t="s">
        <v>473</v>
      </c>
      <c r="B380" s="2">
        <v>4</v>
      </c>
      <c r="C380" s="2" t="s">
        <v>47</v>
      </c>
      <c r="D380" s="2" t="s">
        <v>23</v>
      </c>
      <c r="E380" s="2" t="s">
        <v>71</v>
      </c>
      <c r="F380" s="2" t="s">
        <v>63</v>
      </c>
      <c r="G380" s="3" t="s">
        <v>64</v>
      </c>
      <c r="H380" s="4">
        <v>27200</v>
      </c>
      <c r="I380" s="2" t="s">
        <v>72</v>
      </c>
      <c r="J380" s="2"/>
      <c r="K380" s="22">
        <f t="shared" si="5"/>
        <v>0</v>
      </c>
    </row>
    <row r="381" spans="1:11" x14ac:dyDescent="0.45">
      <c r="A381" s="5" t="s">
        <v>474</v>
      </c>
      <c r="B381" s="5">
        <v>3</v>
      </c>
      <c r="C381" s="5" t="s">
        <v>18</v>
      </c>
      <c r="D381" s="5" t="s">
        <v>12</v>
      </c>
      <c r="E381" s="5" t="s">
        <v>71</v>
      </c>
      <c r="F381" s="5" t="s">
        <v>63</v>
      </c>
      <c r="G381" s="6" t="s">
        <v>97</v>
      </c>
      <c r="H381" s="7">
        <v>11200</v>
      </c>
      <c r="I381" s="5" t="s">
        <v>72</v>
      </c>
      <c r="J381" s="5"/>
      <c r="K381" s="22">
        <f t="shared" si="5"/>
        <v>0</v>
      </c>
    </row>
    <row r="382" spans="1:11" x14ac:dyDescent="0.45">
      <c r="A382" s="2" t="s">
        <v>475</v>
      </c>
      <c r="B382" s="2">
        <v>12</v>
      </c>
      <c r="C382" s="2" t="s">
        <v>34</v>
      </c>
      <c r="D382" s="2" t="s">
        <v>30</v>
      </c>
      <c r="E382" s="2" t="s">
        <v>13</v>
      </c>
      <c r="F382" s="2" t="s">
        <v>14</v>
      </c>
      <c r="G382" s="3" t="s">
        <v>48</v>
      </c>
      <c r="H382" s="4">
        <v>44700</v>
      </c>
      <c r="I382" s="2" t="s">
        <v>16</v>
      </c>
      <c r="J382" s="2"/>
      <c r="K382" s="22">
        <f t="shared" si="5"/>
        <v>0</v>
      </c>
    </row>
    <row r="383" spans="1:11" x14ac:dyDescent="0.45">
      <c r="A383" s="5" t="s">
        <v>476</v>
      </c>
      <c r="B383" s="5">
        <v>12</v>
      </c>
      <c r="C383" s="5" t="s">
        <v>34</v>
      </c>
      <c r="D383" s="5" t="s">
        <v>30</v>
      </c>
      <c r="E383" s="5" t="s">
        <v>71</v>
      </c>
      <c r="F383" s="5" t="s">
        <v>63</v>
      </c>
      <c r="G383" s="6" t="s">
        <v>97</v>
      </c>
      <c r="H383" s="7">
        <v>6700</v>
      </c>
      <c r="I383" s="5" t="s">
        <v>72</v>
      </c>
      <c r="J383" s="5"/>
      <c r="K383" s="22">
        <f t="shared" si="5"/>
        <v>0</v>
      </c>
    </row>
    <row r="384" spans="1:11" x14ac:dyDescent="0.45">
      <c r="A384" s="2" t="s">
        <v>477</v>
      </c>
      <c r="B384" s="2">
        <v>2</v>
      </c>
      <c r="C384" s="2" t="s">
        <v>11</v>
      </c>
      <c r="D384" s="2" t="s">
        <v>12</v>
      </c>
      <c r="E384" s="2" t="s">
        <v>13</v>
      </c>
      <c r="F384" s="2" t="s">
        <v>50</v>
      </c>
      <c r="G384" s="3" t="s">
        <v>91</v>
      </c>
      <c r="H384" s="4">
        <v>4600</v>
      </c>
      <c r="I384" s="2" t="s">
        <v>16</v>
      </c>
      <c r="J384" s="2"/>
      <c r="K384" s="22">
        <f t="shared" si="5"/>
        <v>0</v>
      </c>
    </row>
    <row r="385" spans="1:11" x14ac:dyDescent="0.45">
      <c r="A385" s="5" t="s">
        <v>478</v>
      </c>
      <c r="B385" s="5">
        <v>8</v>
      </c>
      <c r="C385" s="5" t="s">
        <v>60</v>
      </c>
      <c r="D385" s="5" t="s">
        <v>41</v>
      </c>
      <c r="E385" s="5" t="s">
        <v>35</v>
      </c>
      <c r="F385" s="5" t="s">
        <v>14</v>
      </c>
      <c r="G385" s="6" t="s">
        <v>48</v>
      </c>
      <c r="H385" s="7">
        <v>214800</v>
      </c>
      <c r="I385" s="5" t="s">
        <v>38</v>
      </c>
      <c r="J385" s="5"/>
      <c r="K385" s="22">
        <f t="shared" si="5"/>
        <v>0</v>
      </c>
    </row>
    <row r="386" spans="1:11" x14ac:dyDescent="0.45">
      <c r="A386" s="2" t="s">
        <v>479</v>
      </c>
      <c r="B386" s="2">
        <v>8</v>
      </c>
      <c r="C386" s="2" t="s">
        <v>60</v>
      </c>
      <c r="D386" s="2" t="s">
        <v>41</v>
      </c>
      <c r="E386" s="2" t="s">
        <v>35</v>
      </c>
      <c r="F386" s="2" t="s">
        <v>14</v>
      </c>
      <c r="G386" s="3" t="s">
        <v>48</v>
      </c>
      <c r="H386" s="4">
        <v>24300</v>
      </c>
      <c r="I386" s="2" t="s">
        <v>38</v>
      </c>
      <c r="J386" s="2"/>
      <c r="K386" s="22">
        <f t="shared" si="5"/>
        <v>0</v>
      </c>
    </row>
    <row r="387" spans="1:11" x14ac:dyDescent="0.45">
      <c r="A387" s="5" t="s">
        <v>480</v>
      </c>
      <c r="B387" s="5">
        <v>10</v>
      </c>
      <c r="C387" s="5" t="s">
        <v>40</v>
      </c>
      <c r="D387" s="5" t="s">
        <v>30</v>
      </c>
      <c r="E387" s="5" t="s">
        <v>35</v>
      </c>
      <c r="F387" s="5" t="s">
        <v>14</v>
      </c>
      <c r="G387" s="6" t="s">
        <v>42</v>
      </c>
      <c r="H387" s="7">
        <v>231800</v>
      </c>
      <c r="I387" s="5" t="s">
        <v>38</v>
      </c>
      <c r="J387" s="5"/>
      <c r="K387" s="22">
        <f t="shared" ref="K387:K450" si="6">IF(J387=$N$2,0,IF(J387=$N$3,1,IF(J387=$N$4,2)))</f>
        <v>0</v>
      </c>
    </row>
    <row r="388" spans="1:11" x14ac:dyDescent="0.45">
      <c r="A388" s="2" t="s">
        <v>481</v>
      </c>
      <c r="B388" s="2">
        <v>1</v>
      </c>
      <c r="C388" s="2" t="s">
        <v>66</v>
      </c>
      <c r="D388" s="2" t="s">
        <v>12</v>
      </c>
      <c r="E388" s="2" t="s">
        <v>24</v>
      </c>
      <c r="F388" s="2" t="s">
        <v>25</v>
      </c>
      <c r="G388" s="3" t="s">
        <v>100</v>
      </c>
      <c r="H388" s="4">
        <v>30500</v>
      </c>
      <c r="I388" s="2" t="s">
        <v>27</v>
      </c>
      <c r="J388" s="2"/>
      <c r="K388" s="22">
        <f t="shared" si="6"/>
        <v>0</v>
      </c>
    </row>
    <row r="389" spans="1:11" x14ac:dyDescent="0.45">
      <c r="A389" s="5" t="s">
        <v>482</v>
      </c>
      <c r="B389" s="5">
        <v>9</v>
      </c>
      <c r="C389" s="5" t="s">
        <v>40</v>
      </c>
      <c r="D389" s="5" t="s">
        <v>41</v>
      </c>
      <c r="E389" s="5" t="s">
        <v>71</v>
      </c>
      <c r="F389" s="5" t="s">
        <v>14</v>
      </c>
      <c r="G389" s="6" t="s">
        <v>42</v>
      </c>
      <c r="H389" s="7">
        <v>86200</v>
      </c>
      <c r="I389" s="5" t="s">
        <v>72</v>
      </c>
      <c r="J389" s="5"/>
      <c r="K389" s="22">
        <f t="shared" si="6"/>
        <v>0</v>
      </c>
    </row>
    <row r="390" spans="1:11" x14ac:dyDescent="0.45">
      <c r="A390" s="2" t="s">
        <v>483</v>
      </c>
      <c r="B390" s="2">
        <v>8</v>
      </c>
      <c r="C390" s="2" t="s">
        <v>60</v>
      </c>
      <c r="D390" s="2" t="s">
        <v>41</v>
      </c>
      <c r="E390" s="2" t="s">
        <v>24</v>
      </c>
      <c r="F390" s="2" t="s">
        <v>14</v>
      </c>
      <c r="G390" s="3" t="s">
        <v>15</v>
      </c>
      <c r="H390" s="4">
        <v>23800</v>
      </c>
      <c r="I390" s="2" t="s">
        <v>27</v>
      </c>
      <c r="J390" s="2"/>
      <c r="K390" s="22">
        <f t="shared" si="6"/>
        <v>0</v>
      </c>
    </row>
    <row r="391" spans="1:11" x14ac:dyDescent="0.45">
      <c r="A391" s="5" t="s">
        <v>484</v>
      </c>
      <c r="B391" s="5">
        <v>3</v>
      </c>
      <c r="C391" s="5" t="s">
        <v>18</v>
      </c>
      <c r="D391" s="5" t="s">
        <v>12</v>
      </c>
      <c r="E391" s="5" t="s">
        <v>35</v>
      </c>
      <c r="F391" s="5" t="s">
        <v>75</v>
      </c>
      <c r="G391" s="6" t="s">
        <v>76</v>
      </c>
      <c r="H391" s="7">
        <v>3000</v>
      </c>
      <c r="I391" s="5" t="s">
        <v>38</v>
      </c>
      <c r="J391" s="5"/>
      <c r="K391" s="22">
        <f t="shared" si="6"/>
        <v>0</v>
      </c>
    </row>
    <row r="392" spans="1:11" x14ac:dyDescent="0.45">
      <c r="A392" s="2" t="s">
        <v>485</v>
      </c>
      <c r="B392" s="2">
        <v>2</v>
      </c>
      <c r="C392" s="2" t="s">
        <v>11</v>
      </c>
      <c r="D392" s="2" t="s">
        <v>12</v>
      </c>
      <c r="E392" s="2" t="s">
        <v>19</v>
      </c>
      <c r="F392" s="2" t="s">
        <v>63</v>
      </c>
      <c r="G392" s="3" t="s">
        <v>64</v>
      </c>
      <c r="H392" s="4">
        <v>1000</v>
      </c>
      <c r="I392" s="2" t="s">
        <v>20</v>
      </c>
      <c r="J392" s="2"/>
      <c r="K392" s="22">
        <f t="shared" si="6"/>
        <v>0</v>
      </c>
    </row>
    <row r="393" spans="1:11" x14ac:dyDescent="0.45">
      <c r="A393" s="5" t="s">
        <v>486</v>
      </c>
      <c r="B393" s="5">
        <v>4</v>
      </c>
      <c r="C393" s="5" t="s">
        <v>47</v>
      </c>
      <c r="D393" s="5" t="s">
        <v>23</v>
      </c>
      <c r="E393" s="5" t="s">
        <v>19</v>
      </c>
      <c r="F393" s="5" t="s">
        <v>63</v>
      </c>
      <c r="G393" s="6" t="s">
        <v>64</v>
      </c>
      <c r="H393" s="7">
        <v>8800</v>
      </c>
      <c r="I393" s="5" t="s">
        <v>20</v>
      </c>
      <c r="J393" s="5"/>
      <c r="K393" s="22">
        <f t="shared" si="6"/>
        <v>0</v>
      </c>
    </row>
    <row r="394" spans="1:11" x14ac:dyDescent="0.45">
      <c r="A394" s="2" t="s">
        <v>487</v>
      </c>
      <c r="B394" s="2">
        <v>7</v>
      </c>
      <c r="C394" s="2" t="s">
        <v>56</v>
      </c>
      <c r="D394" s="2" t="s">
        <v>41</v>
      </c>
      <c r="E394" s="2" t="s">
        <v>57</v>
      </c>
      <c r="F394" s="2" t="s">
        <v>75</v>
      </c>
      <c r="G394" s="3" t="s">
        <v>83</v>
      </c>
      <c r="H394" s="4">
        <v>18400</v>
      </c>
      <c r="I394" s="2" t="s">
        <v>58</v>
      </c>
      <c r="J394" s="2"/>
      <c r="K394" s="22">
        <f t="shared" si="6"/>
        <v>0</v>
      </c>
    </row>
    <row r="395" spans="1:11" x14ac:dyDescent="0.45">
      <c r="A395" s="5" t="s">
        <v>488</v>
      </c>
      <c r="B395" s="5">
        <v>2</v>
      </c>
      <c r="C395" s="5" t="s">
        <v>11</v>
      </c>
      <c r="D395" s="5" t="s">
        <v>12</v>
      </c>
      <c r="E395" s="5" t="s">
        <v>57</v>
      </c>
      <c r="F395" s="5" t="s">
        <v>14</v>
      </c>
      <c r="G395" s="6" t="s">
        <v>42</v>
      </c>
      <c r="H395" s="7">
        <v>34700</v>
      </c>
      <c r="I395" s="5" t="s">
        <v>58</v>
      </c>
      <c r="J395" s="5"/>
      <c r="K395" s="22">
        <f t="shared" si="6"/>
        <v>0</v>
      </c>
    </row>
    <row r="396" spans="1:11" x14ac:dyDescent="0.45">
      <c r="A396" s="2" t="s">
        <v>489</v>
      </c>
      <c r="B396" s="2">
        <v>3</v>
      </c>
      <c r="C396" s="2" t="s">
        <v>18</v>
      </c>
      <c r="D396" s="2" t="s">
        <v>12</v>
      </c>
      <c r="E396" s="2" t="s">
        <v>57</v>
      </c>
      <c r="F396" s="2" t="s">
        <v>63</v>
      </c>
      <c r="G396" s="3" t="s">
        <v>97</v>
      </c>
      <c r="H396" s="4">
        <v>6900</v>
      </c>
      <c r="I396" s="2" t="s">
        <v>58</v>
      </c>
      <c r="J396" s="2"/>
      <c r="K396" s="22">
        <f t="shared" si="6"/>
        <v>0</v>
      </c>
    </row>
    <row r="397" spans="1:11" x14ac:dyDescent="0.45">
      <c r="A397" s="5" t="s">
        <v>490</v>
      </c>
      <c r="B397" s="5">
        <v>9</v>
      </c>
      <c r="C397" s="5" t="s">
        <v>40</v>
      </c>
      <c r="D397" s="5" t="s">
        <v>41</v>
      </c>
      <c r="E397" s="5" t="s">
        <v>71</v>
      </c>
      <c r="F397" s="5" t="s">
        <v>14</v>
      </c>
      <c r="G397" s="6" t="s">
        <v>42</v>
      </c>
      <c r="H397" s="7">
        <v>29800</v>
      </c>
      <c r="I397" s="5" t="s">
        <v>72</v>
      </c>
      <c r="J397" s="5"/>
      <c r="K397" s="22">
        <f t="shared" si="6"/>
        <v>0</v>
      </c>
    </row>
    <row r="398" spans="1:11" x14ac:dyDescent="0.45">
      <c r="A398" s="2" t="s">
        <v>491</v>
      </c>
      <c r="B398" s="2">
        <v>3</v>
      </c>
      <c r="C398" s="2" t="s">
        <v>18</v>
      </c>
      <c r="D398" s="2" t="s">
        <v>12</v>
      </c>
      <c r="E398" s="2" t="s">
        <v>13</v>
      </c>
      <c r="F398" s="2" t="s">
        <v>50</v>
      </c>
      <c r="G398" s="3" t="s">
        <v>144</v>
      </c>
      <c r="H398" s="4">
        <v>7600</v>
      </c>
      <c r="I398" s="2" t="s">
        <v>16</v>
      </c>
      <c r="J398" s="2"/>
      <c r="K398" s="22">
        <f t="shared" si="6"/>
        <v>0</v>
      </c>
    </row>
    <row r="399" spans="1:11" x14ac:dyDescent="0.45">
      <c r="A399" s="5" t="s">
        <v>492</v>
      </c>
      <c r="B399" s="5">
        <v>8</v>
      </c>
      <c r="C399" s="5" t="s">
        <v>60</v>
      </c>
      <c r="D399" s="5" t="s">
        <v>41</v>
      </c>
      <c r="E399" s="5" t="s">
        <v>24</v>
      </c>
      <c r="F399" s="5" t="s">
        <v>36</v>
      </c>
      <c r="G399" s="6" t="s">
        <v>126</v>
      </c>
      <c r="H399" s="7">
        <v>55600</v>
      </c>
      <c r="I399" s="5" t="s">
        <v>27</v>
      </c>
      <c r="J399" s="5"/>
      <c r="K399" s="22">
        <f t="shared" si="6"/>
        <v>0</v>
      </c>
    </row>
    <row r="400" spans="1:11" x14ac:dyDescent="0.45">
      <c r="A400" s="2" t="s">
        <v>493</v>
      </c>
      <c r="B400" s="2">
        <v>12</v>
      </c>
      <c r="C400" s="2" t="s">
        <v>34</v>
      </c>
      <c r="D400" s="2" t="s">
        <v>30</v>
      </c>
      <c r="E400" s="2" t="s">
        <v>13</v>
      </c>
      <c r="F400" s="2" t="s">
        <v>63</v>
      </c>
      <c r="G400" s="3" t="s">
        <v>97</v>
      </c>
      <c r="H400" s="4">
        <v>15200</v>
      </c>
      <c r="I400" s="2" t="s">
        <v>16</v>
      </c>
      <c r="J400" s="2"/>
      <c r="K400" s="22">
        <f t="shared" si="6"/>
        <v>0</v>
      </c>
    </row>
    <row r="401" spans="1:11" x14ac:dyDescent="0.45">
      <c r="A401" s="5" t="s">
        <v>494</v>
      </c>
      <c r="B401" s="5">
        <v>11</v>
      </c>
      <c r="C401" s="5" t="s">
        <v>29</v>
      </c>
      <c r="D401" s="5" t="s">
        <v>30</v>
      </c>
      <c r="E401" s="5" t="s">
        <v>57</v>
      </c>
      <c r="F401" s="5" t="s">
        <v>75</v>
      </c>
      <c r="G401" s="6" t="s">
        <v>179</v>
      </c>
      <c r="H401" s="7">
        <v>36400</v>
      </c>
      <c r="I401" s="5" t="s">
        <v>58</v>
      </c>
      <c r="J401" s="5"/>
      <c r="K401" s="22">
        <f t="shared" si="6"/>
        <v>0</v>
      </c>
    </row>
    <row r="402" spans="1:11" x14ac:dyDescent="0.45">
      <c r="A402" s="2" t="s">
        <v>495</v>
      </c>
      <c r="B402" s="2">
        <v>10</v>
      </c>
      <c r="C402" s="2" t="s">
        <v>40</v>
      </c>
      <c r="D402" s="2" t="s">
        <v>30</v>
      </c>
      <c r="E402" s="2" t="s">
        <v>24</v>
      </c>
      <c r="F402" s="2" t="s">
        <v>25</v>
      </c>
      <c r="G402" s="3" t="s">
        <v>100</v>
      </c>
      <c r="H402" s="4">
        <v>4100</v>
      </c>
      <c r="I402" s="2" t="s">
        <v>27</v>
      </c>
      <c r="J402" s="2" t="s">
        <v>108</v>
      </c>
      <c r="K402" s="22">
        <f t="shared" si="6"/>
        <v>1</v>
      </c>
    </row>
    <row r="403" spans="1:11" x14ac:dyDescent="0.45">
      <c r="A403" s="5" t="s">
        <v>496</v>
      </c>
      <c r="B403" s="5">
        <v>8</v>
      </c>
      <c r="C403" s="5" t="s">
        <v>60</v>
      </c>
      <c r="D403" s="5" t="s">
        <v>41</v>
      </c>
      <c r="E403" s="5" t="s">
        <v>35</v>
      </c>
      <c r="F403" s="5" t="s">
        <v>36</v>
      </c>
      <c r="G403" s="6" t="s">
        <v>111</v>
      </c>
      <c r="H403" s="7">
        <v>8500</v>
      </c>
      <c r="I403" s="5" t="s">
        <v>38</v>
      </c>
      <c r="J403" s="5"/>
      <c r="K403" s="22">
        <f t="shared" si="6"/>
        <v>0</v>
      </c>
    </row>
    <row r="404" spans="1:11" x14ac:dyDescent="0.45">
      <c r="A404" s="2" t="s">
        <v>497</v>
      </c>
      <c r="B404" s="2">
        <v>9</v>
      </c>
      <c r="C404" s="2" t="s">
        <v>40</v>
      </c>
      <c r="D404" s="2" t="s">
        <v>41</v>
      </c>
      <c r="E404" s="2" t="s">
        <v>35</v>
      </c>
      <c r="F404" s="2" t="s">
        <v>105</v>
      </c>
      <c r="G404" s="3" t="s">
        <v>133</v>
      </c>
      <c r="H404" s="4">
        <v>22600</v>
      </c>
      <c r="I404" s="2" t="s">
        <v>38</v>
      </c>
      <c r="J404" s="2"/>
      <c r="K404" s="22">
        <f t="shared" si="6"/>
        <v>0</v>
      </c>
    </row>
    <row r="405" spans="1:11" x14ac:dyDescent="0.45">
      <c r="A405" s="5" t="s">
        <v>498</v>
      </c>
      <c r="B405" s="5">
        <v>12</v>
      </c>
      <c r="C405" s="5" t="s">
        <v>34</v>
      </c>
      <c r="D405" s="5" t="s">
        <v>30</v>
      </c>
      <c r="E405" s="5" t="s">
        <v>57</v>
      </c>
      <c r="F405" s="5" t="s">
        <v>63</v>
      </c>
      <c r="G405" s="6" t="s">
        <v>69</v>
      </c>
      <c r="H405" s="7">
        <v>1000</v>
      </c>
      <c r="I405" s="5" t="s">
        <v>58</v>
      </c>
      <c r="J405" s="5"/>
      <c r="K405" s="22">
        <f t="shared" si="6"/>
        <v>0</v>
      </c>
    </row>
    <row r="406" spans="1:11" x14ac:dyDescent="0.45">
      <c r="A406" s="2" t="s">
        <v>499</v>
      </c>
      <c r="B406" s="2">
        <v>6</v>
      </c>
      <c r="C406" s="2" t="s">
        <v>78</v>
      </c>
      <c r="D406" s="2" t="s">
        <v>23</v>
      </c>
      <c r="E406" s="2" t="s">
        <v>35</v>
      </c>
      <c r="F406" s="2" t="s">
        <v>36</v>
      </c>
      <c r="G406" s="3" t="s">
        <v>111</v>
      </c>
      <c r="H406" s="4">
        <v>21100</v>
      </c>
      <c r="I406" s="2" t="s">
        <v>38</v>
      </c>
      <c r="J406" s="2"/>
      <c r="K406" s="22">
        <f t="shared" si="6"/>
        <v>0</v>
      </c>
    </row>
    <row r="407" spans="1:11" x14ac:dyDescent="0.45">
      <c r="A407" s="5" t="s">
        <v>500</v>
      </c>
      <c r="B407" s="5">
        <v>3</v>
      </c>
      <c r="C407" s="5" t="s">
        <v>18</v>
      </c>
      <c r="D407" s="5" t="s">
        <v>12</v>
      </c>
      <c r="E407" s="5" t="s">
        <v>57</v>
      </c>
      <c r="F407" s="5" t="s">
        <v>75</v>
      </c>
      <c r="G407" s="6" t="s">
        <v>179</v>
      </c>
      <c r="H407" s="7">
        <v>9100</v>
      </c>
      <c r="I407" s="5" t="s">
        <v>58</v>
      </c>
      <c r="J407" s="5"/>
      <c r="K407" s="22">
        <f t="shared" si="6"/>
        <v>0</v>
      </c>
    </row>
    <row r="408" spans="1:11" x14ac:dyDescent="0.45">
      <c r="A408" s="2" t="s">
        <v>501</v>
      </c>
      <c r="B408" s="2">
        <v>4</v>
      </c>
      <c r="C408" s="2" t="s">
        <v>47</v>
      </c>
      <c r="D408" s="2" t="s">
        <v>23</v>
      </c>
      <c r="E408" s="2" t="s">
        <v>19</v>
      </c>
      <c r="F408" s="2" t="s">
        <v>14</v>
      </c>
      <c r="G408" s="3" t="s">
        <v>42</v>
      </c>
      <c r="H408" s="4">
        <v>31000</v>
      </c>
      <c r="I408" s="2" t="s">
        <v>20</v>
      </c>
      <c r="J408" s="2"/>
      <c r="K408" s="22">
        <f t="shared" si="6"/>
        <v>0</v>
      </c>
    </row>
    <row r="409" spans="1:11" x14ac:dyDescent="0.45">
      <c r="A409" s="5" t="s">
        <v>502</v>
      </c>
      <c r="B409" s="5">
        <v>2</v>
      </c>
      <c r="C409" s="5" t="s">
        <v>11</v>
      </c>
      <c r="D409" s="5" t="s">
        <v>12</v>
      </c>
      <c r="E409" s="5" t="s">
        <v>57</v>
      </c>
      <c r="F409" s="5" t="s">
        <v>14</v>
      </c>
      <c r="G409" s="6" t="s">
        <v>15</v>
      </c>
      <c r="H409" s="7">
        <v>72700</v>
      </c>
      <c r="I409" s="5" t="s">
        <v>58</v>
      </c>
      <c r="J409" s="5"/>
      <c r="K409" s="22">
        <f t="shared" si="6"/>
        <v>0</v>
      </c>
    </row>
    <row r="410" spans="1:11" x14ac:dyDescent="0.45">
      <c r="A410" s="2" t="s">
        <v>503</v>
      </c>
      <c r="B410" s="2">
        <v>1</v>
      </c>
      <c r="C410" s="2" t="s">
        <v>66</v>
      </c>
      <c r="D410" s="2" t="s">
        <v>12</v>
      </c>
      <c r="E410" s="2" t="s">
        <v>24</v>
      </c>
      <c r="F410" s="2" t="s">
        <v>25</v>
      </c>
      <c r="G410" s="3" t="s">
        <v>26</v>
      </c>
      <c r="H410" s="4">
        <v>20500</v>
      </c>
      <c r="I410" s="2" t="s">
        <v>27</v>
      </c>
      <c r="J410" s="2"/>
      <c r="K410" s="22">
        <f t="shared" si="6"/>
        <v>0</v>
      </c>
    </row>
    <row r="411" spans="1:11" x14ac:dyDescent="0.45">
      <c r="A411" s="5" t="s">
        <v>504</v>
      </c>
      <c r="B411" s="5">
        <v>6</v>
      </c>
      <c r="C411" s="5" t="s">
        <v>78</v>
      </c>
      <c r="D411" s="5" t="s">
        <v>23</v>
      </c>
      <c r="E411" s="5" t="s">
        <v>19</v>
      </c>
      <c r="F411" s="5" t="s">
        <v>53</v>
      </c>
      <c r="G411" s="6" t="s">
        <v>121</v>
      </c>
      <c r="H411" s="7">
        <v>1600</v>
      </c>
      <c r="I411" s="5" t="s">
        <v>20</v>
      </c>
      <c r="J411" s="5"/>
      <c r="K411" s="22">
        <f t="shared" si="6"/>
        <v>0</v>
      </c>
    </row>
    <row r="412" spans="1:11" x14ac:dyDescent="0.45">
      <c r="A412" s="2" t="s">
        <v>505</v>
      </c>
      <c r="B412" s="2">
        <v>6</v>
      </c>
      <c r="C412" s="2" t="s">
        <v>78</v>
      </c>
      <c r="D412" s="2" t="s">
        <v>23</v>
      </c>
      <c r="E412" s="2" t="s">
        <v>24</v>
      </c>
      <c r="F412" s="2" t="s">
        <v>36</v>
      </c>
      <c r="G412" s="3" t="s">
        <v>111</v>
      </c>
      <c r="H412" s="4">
        <v>100900</v>
      </c>
      <c r="I412" s="2" t="s">
        <v>27</v>
      </c>
      <c r="J412" s="2"/>
      <c r="K412" s="22">
        <f t="shared" si="6"/>
        <v>0</v>
      </c>
    </row>
    <row r="413" spans="1:11" x14ac:dyDescent="0.45">
      <c r="A413" s="5" t="s">
        <v>506</v>
      </c>
      <c r="B413" s="5">
        <v>10</v>
      </c>
      <c r="C413" s="5" t="s">
        <v>40</v>
      </c>
      <c r="D413" s="5" t="s">
        <v>30</v>
      </c>
      <c r="E413" s="5" t="s">
        <v>57</v>
      </c>
      <c r="F413" s="5" t="s">
        <v>75</v>
      </c>
      <c r="G413" s="6" t="s">
        <v>179</v>
      </c>
      <c r="H413" s="7">
        <v>12800</v>
      </c>
      <c r="I413" s="5" t="s">
        <v>58</v>
      </c>
      <c r="J413" s="5"/>
      <c r="K413" s="22">
        <f t="shared" si="6"/>
        <v>0</v>
      </c>
    </row>
    <row r="414" spans="1:11" x14ac:dyDescent="0.45">
      <c r="A414" s="2" t="s">
        <v>507</v>
      </c>
      <c r="B414" s="2">
        <v>7</v>
      </c>
      <c r="C414" s="2" t="s">
        <v>56</v>
      </c>
      <c r="D414" s="2" t="s">
        <v>41</v>
      </c>
      <c r="E414" s="2" t="s">
        <v>19</v>
      </c>
      <c r="F414" s="2" t="s">
        <v>31</v>
      </c>
      <c r="G414" s="3" t="s">
        <v>81</v>
      </c>
      <c r="H414" s="4">
        <v>8800</v>
      </c>
      <c r="I414" s="2" t="s">
        <v>20</v>
      </c>
      <c r="J414" s="2"/>
      <c r="K414" s="22">
        <f t="shared" si="6"/>
        <v>0</v>
      </c>
    </row>
    <row r="415" spans="1:11" x14ac:dyDescent="0.45">
      <c r="A415" s="5" t="s">
        <v>508</v>
      </c>
      <c r="B415" s="5">
        <v>8</v>
      </c>
      <c r="C415" s="5" t="s">
        <v>60</v>
      </c>
      <c r="D415" s="5" t="s">
        <v>41</v>
      </c>
      <c r="E415" s="5" t="s">
        <v>13</v>
      </c>
      <c r="F415" s="5" t="s">
        <v>63</v>
      </c>
      <c r="G415" s="6" t="s">
        <v>64</v>
      </c>
      <c r="H415" s="7">
        <v>15600</v>
      </c>
      <c r="I415" s="5" t="s">
        <v>16</v>
      </c>
      <c r="J415" s="5"/>
      <c r="K415" s="22">
        <f t="shared" si="6"/>
        <v>0</v>
      </c>
    </row>
    <row r="416" spans="1:11" x14ac:dyDescent="0.45">
      <c r="A416" s="2" t="s">
        <v>509</v>
      </c>
      <c r="B416" s="2">
        <v>8</v>
      </c>
      <c r="C416" s="2" t="s">
        <v>60</v>
      </c>
      <c r="D416" s="2" t="s">
        <v>41</v>
      </c>
      <c r="E416" s="2" t="s">
        <v>19</v>
      </c>
      <c r="F416" s="2" t="s">
        <v>63</v>
      </c>
      <c r="G416" s="3" t="s">
        <v>64</v>
      </c>
      <c r="H416" s="4">
        <v>11800</v>
      </c>
      <c r="I416" s="2" t="s">
        <v>20</v>
      </c>
      <c r="J416" s="2"/>
      <c r="K416" s="22">
        <f t="shared" si="6"/>
        <v>0</v>
      </c>
    </row>
    <row r="417" spans="1:11" x14ac:dyDescent="0.45">
      <c r="A417" s="5" t="s">
        <v>510</v>
      </c>
      <c r="B417" s="5">
        <v>3</v>
      </c>
      <c r="C417" s="5" t="s">
        <v>18</v>
      </c>
      <c r="D417" s="5" t="s">
        <v>12</v>
      </c>
      <c r="E417" s="5" t="s">
        <v>35</v>
      </c>
      <c r="F417" s="5" t="s">
        <v>36</v>
      </c>
      <c r="G417" s="6" t="s">
        <v>111</v>
      </c>
      <c r="H417" s="7">
        <v>5900</v>
      </c>
      <c r="I417" s="5" t="s">
        <v>38</v>
      </c>
      <c r="J417" s="5"/>
      <c r="K417" s="22">
        <f t="shared" si="6"/>
        <v>0</v>
      </c>
    </row>
    <row r="418" spans="1:11" x14ac:dyDescent="0.45">
      <c r="A418" s="2" t="s">
        <v>511</v>
      </c>
      <c r="B418" s="2">
        <v>8</v>
      </c>
      <c r="C418" s="2" t="s">
        <v>60</v>
      </c>
      <c r="D418" s="2" t="s">
        <v>41</v>
      </c>
      <c r="E418" s="2" t="s">
        <v>57</v>
      </c>
      <c r="F418" s="2" t="s">
        <v>63</v>
      </c>
      <c r="G418" s="3" t="s">
        <v>64</v>
      </c>
      <c r="H418" s="4">
        <v>3200</v>
      </c>
      <c r="I418" s="2" t="s">
        <v>58</v>
      </c>
      <c r="J418" s="2"/>
      <c r="K418" s="22">
        <f t="shared" si="6"/>
        <v>0</v>
      </c>
    </row>
    <row r="419" spans="1:11" x14ac:dyDescent="0.45">
      <c r="A419" s="5" t="s">
        <v>512</v>
      </c>
      <c r="B419" s="5">
        <v>6</v>
      </c>
      <c r="C419" s="5" t="s">
        <v>78</v>
      </c>
      <c r="D419" s="5" t="s">
        <v>23</v>
      </c>
      <c r="E419" s="5" t="s">
        <v>13</v>
      </c>
      <c r="F419" s="5" t="s">
        <v>102</v>
      </c>
      <c r="G419" s="6" t="s">
        <v>243</v>
      </c>
      <c r="H419" s="7">
        <v>60300</v>
      </c>
      <c r="I419" s="5" t="s">
        <v>16</v>
      </c>
      <c r="J419" s="5"/>
      <c r="K419" s="22">
        <f t="shared" si="6"/>
        <v>0</v>
      </c>
    </row>
    <row r="420" spans="1:11" x14ac:dyDescent="0.45">
      <c r="A420" s="2" t="s">
        <v>513</v>
      </c>
      <c r="B420" s="2">
        <v>2</v>
      </c>
      <c r="C420" s="2" t="s">
        <v>11</v>
      </c>
      <c r="D420" s="2" t="s">
        <v>12</v>
      </c>
      <c r="E420" s="2" t="s">
        <v>35</v>
      </c>
      <c r="F420" s="2" t="s">
        <v>36</v>
      </c>
      <c r="G420" s="3" t="s">
        <v>126</v>
      </c>
      <c r="H420" s="4">
        <v>6200</v>
      </c>
      <c r="I420" s="2" t="s">
        <v>38</v>
      </c>
      <c r="J420" s="2"/>
      <c r="K420" s="22">
        <f t="shared" si="6"/>
        <v>0</v>
      </c>
    </row>
    <row r="421" spans="1:11" x14ac:dyDescent="0.45">
      <c r="A421" s="5" t="s">
        <v>514</v>
      </c>
      <c r="B421" s="5">
        <v>1</v>
      </c>
      <c r="C421" s="5" t="s">
        <v>66</v>
      </c>
      <c r="D421" s="5" t="s">
        <v>12</v>
      </c>
      <c r="E421" s="5" t="s">
        <v>24</v>
      </c>
      <c r="F421" s="5" t="s">
        <v>36</v>
      </c>
      <c r="G421" s="6" t="s">
        <v>37</v>
      </c>
      <c r="H421" s="7">
        <v>13700</v>
      </c>
      <c r="I421" s="5" t="s">
        <v>27</v>
      </c>
      <c r="J421" s="5"/>
      <c r="K421" s="22">
        <f t="shared" si="6"/>
        <v>0</v>
      </c>
    </row>
    <row r="422" spans="1:11" x14ac:dyDescent="0.45">
      <c r="A422" s="2" t="s">
        <v>515</v>
      </c>
      <c r="B422" s="2">
        <v>6</v>
      </c>
      <c r="C422" s="2" t="s">
        <v>78</v>
      </c>
      <c r="D422" s="2" t="s">
        <v>23</v>
      </c>
      <c r="E422" s="2" t="s">
        <v>57</v>
      </c>
      <c r="F422" s="2" t="s">
        <v>14</v>
      </c>
      <c r="G422" s="3" t="s">
        <v>48</v>
      </c>
      <c r="H422" s="4">
        <v>169700</v>
      </c>
      <c r="I422" s="2" t="s">
        <v>58</v>
      </c>
      <c r="J422" s="2"/>
      <c r="K422" s="22">
        <f t="shared" si="6"/>
        <v>0</v>
      </c>
    </row>
    <row r="423" spans="1:11" x14ac:dyDescent="0.45">
      <c r="A423" s="5" t="s">
        <v>516</v>
      </c>
      <c r="B423" s="5">
        <v>7</v>
      </c>
      <c r="C423" s="5" t="s">
        <v>56</v>
      </c>
      <c r="D423" s="5" t="s">
        <v>41</v>
      </c>
      <c r="E423" s="5" t="s">
        <v>13</v>
      </c>
      <c r="F423" s="5" t="s">
        <v>63</v>
      </c>
      <c r="G423" s="6" t="s">
        <v>64</v>
      </c>
      <c r="H423" s="7">
        <v>600</v>
      </c>
      <c r="I423" s="5" t="s">
        <v>16</v>
      </c>
      <c r="J423" s="5"/>
      <c r="K423" s="22">
        <f t="shared" si="6"/>
        <v>0</v>
      </c>
    </row>
    <row r="424" spans="1:11" x14ac:dyDescent="0.45">
      <c r="A424" s="2" t="s">
        <v>517</v>
      </c>
      <c r="B424" s="2">
        <v>11</v>
      </c>
      <c r="C424" s="2" t="s">
        <v>29</v>
      </c>
      <c r="D424" s="2" t="s">
        <v>30</v>
      </c>
      <c r="E424" s="2" t="s">
        <v>19</v>
      </c>
      <c r="F424" s="2" t="s">
        <v>63</v>
      </c>
      <c r="G424" s="3" t="s">
        <v>97</v>
      </c>
      <c r="H424" s="4">
        <v>16500</v>
      </c>
      <c r="I424" s="2" t="s">
        <v>20</v>
      </c>
      <c r="J424" s="2"/>
      <c r="K424" s="22">
        <f t="shared" si="6"/>
        <v>0</v>
      </c>
    </row>
    <row r="425" spans="1:11" x14ac:dyDescent="0.45">
      <c r="A425" s="5" t="s">
        <v>518</v>
      </c>
      <c r="B425" s="5">
        <v>4</v>
      </c>
      <c r="C425" s="5" t="s">
        <v>47</v>
      </c>
      <c r="D425" s="5" t="s">
        <v>23</v>
      </c>
      <c r="E425" s="5" t="s">
        <v>57</v>
      </c>
      <c r="F425" s="5" t="s">
        <v>85</v>
      </c>
      <c r="G425" s="6" t="s">
        <v>159</v>
      </c>
      <c r="H425" s="7">
        <v>13600</v>
      </c>
      <c r="I425" s="5" t="s">
        <v>58</v>
      </c>
      <c r="J425" s="5"/>
      <c r="K425" s="22">
        <f t="shared" si="6"/>
        <v>0</v>
      </c>
    </row>
    <row r="426" spans="1:11" x14ac:dyDescent="0.45">
      <c r="A426" s="2" t="s">
        <v>519</v>
      </c>
      <c r="B426" s="2">
        <v>11</v>
      </c>
      <c r="C426" s="2" t="s">
        <v>29</v>
      </c>
      <c r="D426" s="2" t="s">
        <v>30</v>
      </c>
      <c r="E426" s="2" t="s">
        <v>19</v>
      </c>
      <c r="F426" s="2" t="s">
        <v>31</v>
      </c>
      <c r="G426" s="3" t="s">
        <v>81</v>
      </c>
      <c r="H426" s="4">
        <v>15100</v>
      </c>
      <c r="I426" s="2" t="s">
        <v>20</v>
      </c>
      <c r="J426" s="2"/>
      <c r="K426" s="22">
        <f t="shared" si="6"/>
        <v>0</v>
      </c>
    </row>
    <row r="427" spans="1:11" x14ac:dyDescent="0.45">
      <c r="A427" s="5" t="s">
        <v>520</v>
      </c>
      <c r="B427" s="5">
        <v>12</v>
      </c>
      <c r="C427" s="5" t="s">
        <v>34</v>
      </c>
      <c r="D427" s="5" t="s">
        <v>30</v>
      </c>
      <c r="E427" s="5" t="s">
        <v>19</v>
      </c>
      <c r="F427" s="5" t="s">
        <v>63</v>
      </c>
      <c r="G427" s="6" t="s">
        <v>97</v>
      </c>
      <c r="H427" s="7">
        <v>2400</v>
      </c>
      <c r="I427" s="5" t="s">
        <v>20</v>
      </c>
      <c r="J427" s="5"/>
      <c r="K427" s="22">
        <f t="shared" si="6"/>
        <v>0</v>
      </c>
    </row>
    <row r="428" spans="1:11" x14ac:dyDescent="0.45">
      <c r="A428" s="2" t="s">
        <v>521</v>
      </c>
      <c r="B428" s="2">
        <v>9</v>
      </c>
      <c r="C428" s="2" t="s">
        <v>40</v>
      </c>
      <c r="D428" s="2" t="s">
        <v>41</v>
      </c>
      <c r="E428" s="2" t="s">
        <v>71</v>
      </c>
      <c r="F428" s="2" t="s">
        <v>94</v>
      </c>
      <c r="G428" s="3" t="s">
        <v>157</v>
      </c>
      <c r="H428" s="4">
        <v>8200</v>
      </c>
      <c r="I428" s="2" t="s">
        <v>72</v>
      </c>
      <c r="J428" s="2"/>
      <c r="K428" s="22">
        <f t="shared" si="6"/>
        <v>0</v>
      </c>
    </row>
    <row r="429" spans="1:11" x14ac:dyDescent="0.45">
      <c r="A429" s="5" t="s">
        <v>522</v>
      </c>
      <c r="B429" s="5">
        <v>1</v>
      </c>
      <c r="C429" s="5" t="s">
        <v>66</v>
      </c>
      <c r="D429" s="5" t="s">
        <v>12</v>
      </c>
      <c r="E429" s="5" t="s">
        <v>19</v>
      </c>
      <c r="F429" s="5" t="s">
        <v>14</v>
      </c>
      <c r="G429" s="6" t="s">
        <v>42</v>
      </c>
      <c r="H429" s="7">
        <v>25400</v>
      </c>
      <c r="I429" s="5" t="s">
        <v>20</v>
      </c>
      <c r="J429" s="5"/>
      <c r="K429" s="22">
        <f t="shared" si="6"/>
        <v>0</v>
      </c>
    </row>
    <row r="430" spans="1:11" x14ac:dyDescent="0.45">
      <c r="A430" s="2" t="s">
        <v>523</v>
      </c>
      <c r="B430" s="2">
        <v>2</v>
      </c>
      <c r="C430" s="2" t="s">
        <v>11</v>
      </c>
      <c r="D430" s="2" t="s">
        <v>12</v>
      </c>
      <c r="E430" s="2" t="s">
        <v>19</v>
      </c>
      <c r="F430" s="2" t="s">
        <v>14</v>
      </c>
      <c r="G430" s="3" t="s">
        <v>15</v>
      </c>
      <c r="H430" s="4">
        <v>57300</v>
      </c>
      <c r="I430" s="2" t="s">
        <v>20</v>
      </c>
      <c r="J430" s="2"/>
      <c r="K430" s="22">
        <f t="shared" si="6"/>
        <v>0</v>
      </c>
    </row>
    <row r="431" spans="1:11" x14ac:dyDescent="0.45">
      <c r="A431" s="5" t="s">
        <v>524</v>
      </c>
      <c r="B431" s="5">
        <v>2</v>
      </c>
      <c r="C431" s="5" t="s">
        <v>11</v>
      </c>
      <c r="D431" s="5" t="s">
        <v>12</v>
      </c>
      <c r="E431" s="5" t="s">
        <v>35</v>
      </c>
      <c r="F431" s="5" t="s">
        <v>105</v>
      </c>
      <c r="G431" s="6" t="s">
        <v>150</v>
      </c>
      <c r="H431" s="7">
        <v>1100</v>
      </c>
      <c r="I431" s="5" t="s">
        <v>38</v>
      </c>
      <c r="J431" s="5"/>
      <c r="K431" s="22">
        <f t="shared" si="6"/>
        <v>0</v>
      </c>
    </row>
    <row r="432" spans="1:11" x14ac:dyDescent="0.45">
      <c r="A432" s="2" t="s">
        <v>525</v>
      </c>
      <c r="B432" s="2">
        <v>12</v>
      </c>
      <c r="C432" s="2" t="s">
        <v>34</v>
      </c>
      <c r="D432" s="2" t="s">
        <v>30</v>
      </c>
      <c r="E432" s="2" t="s">
        <v>19</v>
      </c>
      <c r="F432" s="2" t="s">
        <v>31</v>
      </c>
      <c r="G432" s="3" t="s">
        <v>81</v>
      </c>
      <c r="H432" s="4">
        <v>30600</v>
      </c>
      <c r="I432" s="2" t="s">
        <v>20</v>
      </c>
      <c r="J432" s="2"/>
      <c r="K432" s="22">
        <f t="shared" si="6"/>
        <v>0</v>
      </c>
    </row>
    <row r="433" spans="1:11" x14ac:dyDescent="0.45">
      <c r="A433" s="5" t="s">
        <v>526</v>
      </c>
      <c r="B433" s="5">
        <v>10</v>
      </c>
      <c r="C433" s="5" t="s">
        <v>40</v>
      </c>
      <c r="D433" s="5" t="s">
        <v>30</v>
      </c>
      <c r="E433" s="5" t="s">
        <v>13</v>
      </c>
      <c r="F433" s="5" t="s">
        <v>14</v>
      </c>
      <c r="G433" s="6" t="s">
        <v>42</v>
      </c>
      <c r="H433" s="7">
        <v>262200</v>
      </c>
      <c r="I433" s="5" t="s">
        <v>16</v>
      </c>
      <c r="J433" s="5"/>
      <c r="K433" s="22">
        <f t="shared" si="6"/>
        <v>0</v>
      </c>
    </row>
    <row r="434" spans="1:11" x14ac:dyDescent="0.45">
      <c r="A434" s="2" t="s">
        <v>527</v>
      </c>
      <c r="B434" s="2">
        <v>8</v>
      </c>
      <c r="C434" s="2" t="s">
        <v>60</v>
      </c>
      <c r="D434" s="2" t="s">
        <v>41</v>
      </c>
      <c r="E434" s="2" t="s">
        <v>35</v>
      </c>
      <c r="F434" s="2" t="s">
        <v>36</v>
      </c>
      <c r="G434" s="3" t="s">
        <v>37</v>
      </c>
      <c r="H434" s="4">
        <v>9100</v>
      </c>
      <c r="I434" s="2" t="s">
        <v>38</v>
      </c>
      <c r="J434" s="2"/>
      <c r="K434" s="22">
        <f t="shared" si="6"/>
        <v>0</v>
      </c>
    </row>
    <row r="435" spans="1:11" x14ac:dyDescent="0.45">
      <c r="A435" s="5" t="s">
        <v>528</v>
      </c>
      <c r="B435" s="5">
        <v>3</v>
      </c>
      <c r="C435" s="5" t="s">
        <v>18</v>
      </c>
      <c r="D435" s="5" t="s">
        <v>12</v>
      </c>
      <c r="E435" s="5" t="s">
        <v>71</v>
      </c>
      <c r="F435" s="5" t="s">
        <v>88</v>
      </c>
      <c r="G435" s="6" t="s">
        <v>89</v>
      </c>
      <c r="H435" s="7">
        <v>108000</v>
      </c>
      <c r="I435" s="5" t="s">
        <v>72</v>
      </c>
      <c r="J435" s="5"/>
      <c r="K435" s="22">
        <f t="shared" si="6"/>
        <v>0</v>
      </c>
    </row>
    <row r="436" spans="1:11" x14ac:dyDescent="0.45">
      <c r="A436" s="2" t="s">
        <v>529</v>
      </c>
      <c r="B436" s="2">
        <v>7</v>
      </c>
      <c r="C436" s="2" t="s">
        <v>56</v>
      </c>
      <c r="D436" s="2" t="s">
        <v>41</v>
      </c>
      <c r="E436" s="2" t="s">
        <v>19</v>
      </c>
      <c r="F436" s="2" t="s">
        <v>31</v>
      </c>
      <c r="G436" s="3" t="s">
        <v>32</v>
      </c>
      <c r="H436" s="4">
        <v>27300</v>
      </c>
      <c r="I436" s="2" t="s">
        <v>20</v>
      </c>
      <c r="J436" s="2"/>
      <c r="K436" s="22">
        <f t="shared" si="6"/>
        <v>0</v>
      </c>
    </row>
    <row r="437" spans="1:11" x14ac:dyDescent="0.45">
      <c r="A437" s="5" t="s">
        <v>530</v>
      </c>
      <c r="B437" s="5">
        <v>6</v>
      </c>
      <c r="C437" s="5" t="s">
        <v>78</v>
      </c>
      <c r="D437" s="5" t="s">
        <v>23</v>
      </c>
      <c r="E437" s="5" t="s">
        <v>35</v>
      </c>
      <c r="F437" s="5" t="s">
        <v>36</v>
      </c>
      <c r="G437" s="6" t="s">
        <v>111</v>
      </c>
      <c r="H437" s="7">
        <v>2200</v>
      </c>
      <c r="I437" s="5" t="s">
        <v>38</v>
      </c>
      <c r="J437" s="5"/>
      <c r="K437" s="22">
        <f t="shared" si="6"/>
        <v>0</v>
      </c>
    </row>
    <row r="438" spans="1:11" x14ac:dyDescent="0.45">
      <c r="A438" s="2" t="s">
        <v>531</v>
      </c>
      <c r="B438" s="2">
        <v>7</v>
      </c>
      <c r="C438" s="2" t="s">
        <v>56</v>
      </c>
      <c r="D438" s="2" t="s">
        <v>41</v>
      </c>
      <c r="E438" s="2" t="s">
        <v>71</v>
      </c>
      <c r="F438" s="2" t="s">
        <v>88</v>
      </c>
      <c r="G438" s="3" t="s">
        <v>89</v>
      </c>
      <c r="H438" s="4">
        <v>115800</v>
      </c>
      <c r="I438" s="2" t="s">
        <v>72</v>
      </c>
      <c r="J438" s="2"/>
      <c r="K438" s="22">
        <f t="shared" si="6"/>
        <v>0</v>
      </c>
    </row>
    <row r="439" spans="1:11" x14ac:dyDescent="0.45">
      <c r="A439" s="5" t="s">
        <v>532</v>
      </c>
      <c r="B439" s="5">
        <v>1</v>
      </c>
      <c r="C439" s="5" t="s">
        <v>66</v>
      </c>
      <c r="D439" s="5" t="s">
        <v>12</v>
      </c>
      <c r="E439" s="5" t="s">
        <v>71</v>
      </c>
      <c r="F439" s="5" t="s">
        <v>14</v>
      </c>
      <c r="G439" s="6" t="s">
        <v>42</v>
      </c>
      <c r="H439" s="7">
        <v>95900</v>
      </c>
      <c r="I439" s="5" t="s">
        <v>72</v>
      </c>
      <c r="J439" s="5"/>
      <c r="K439" s="22">
        <f t="shared" si="6"/>
        <v>0</v>
      </c>
    </row>
    <row r="440" spans="1:11" x14ac:dyDescent="0.45">
      <c r="A440" s="2" t="s">
        <v>533</v>
      </c>
      <c r="B440" s="2">
        <v>6</v>
      </c>
      <c r="C440" s="2" t="s">
        <v>78</v>
      </c>
      <c r="D440" s="2" t="s">
        <v>23</v>
      </c>
      <c r="E440" s="2" t="s">
        <v>24</v>
      </c>
      <c r="F440" s="2" t="s">
        <v>44</v>
      </c>
      <c r="G440" s="3" t="s">
        <v>45</v>
      </c>
      <c r="H440" s="4">
        <v>14800</v>
      </c>
      <c r="I440" s="2" t="s">
        <v>27</v>
      </c>
      <c r="J440" s="2"/>
      <c r="K440" s="22">
        <f t="shared" si="6"/>
        <v>0</v>
      </c>
    </row>
    <row r="441" spans="1:11" x14ac:dyDescent="0.45">
      <c r="A441" s="5" t="s">
        <v>534</v>
      </c>
      <c r="B441" s="5">
        <v>12</v>
      </c>
      <c r="C441" s="5" t="s">
        <v>34</v>
      </c>
      <c r="D441" s="5" t="s">
        <v>30</v>
      </c>
      <c r="E441" s="5" t="s">
        <v>24</v>
      </c>
      <c r="F441" s="5" t="s">
        <v>14</v>
      </c>
      <c r="G441" s="6" t="s">
        <v>48</v>
      </c>
      <c r="H441" s="7">
        <v>8100</v>
      </c>
      <c r="I441" s="5" t="s">
        <v>27</v>
      </c>
      <c r="J441" s="5"/>
      <c r="K441" s="22">
        <f t="shared" si="6"/>
        <v>0</v>
      </c>
    </row>
    <row r="442" spans="1:11" x14ac:dyDescent="0.45">
      <c r="A442" s="2" t="s">
        <v>535</v>
      </c>
      <c r="B442" s="2">
        <v>2</v>
      </c>
      <c r="C442" s="2" t="s">
        <v>11</v>
      </c>
      <c r="D442" s="2" t="s">
        <v>12</v>
      </c>
      <c r="E442" s="2" t="s">
        <v>24</v>
      </c>
      <c r="F442" s="2" t="s">
        <v>14</v>
      </c>
      <c r="G442" s="3" t="s">
        <v>15</v>
      </c>
      <c r="H442" s="4">
        <v>312400</v>
      </c>
      <c r="I442" s="2" t="s">
        <v>27</v>
      </c>
      <c r="J442" s="2"/>
      <c r="K442" s="22">
        <f t="shared" si="6"/>
        <v>0</v>
      </c>
    </row>
    <row r="443" spans="1:11" x14ac:dyDescent="0.45">
      <c r="A443" s="5" t="s">
        <v>536</v>
      </c>
      <c r="B443" s="5">
        <v>10</v>
      </c>
      <c r="C443" s="5" t="s">
        <v>40</v>
      </c>
      <c r="D443" s="5" t="s">
        <v>30</v>
      </c>
      <c r="E443" s="5" t="s">
        <v>71</v>
      </c>
      <c r="F443" s="5" t="s">
        <v>88</v>
      </c>
      <c r="G443" s="6" t="s">
        <v>258</v>
      </c>
      <c r="H443" s="7">
        <v>59900</v>
      </c>
      <c r="I443" s="5" t="s">
        <v>72</v>
      </c>
      <c r="J443" s="5" t="s">
        <v>108</v>
      </c>
      <c r="K443" s="22">
        <f t="shared" si="6"/>
        <v>1</v>
      </c>
    </row>
    <row r="444" spans="1:11" x14ac:dyDescent="0.45">
      <c r="A444" s="2" t="s">
        <v>537</v>
      </c>
      <c r="B444" s="2">
        <v>8</v>
      </c>
      <c r="C444" s="2" t="s">
        <v>60</v>
      </c>
      <c r="D444" s="2" t="s">
        <v>41</v>
      </c>
      <c r="E444" s="2" t="s">
        <v>24</v>
      </c>
      <c r="F444" s="2" t="s">
        <v>25</v>
      </c>
      <c r="G444" s="3" t="s">
        <v>212</v>
      </c>
      <c r="H444" s="4">
        <v>9500</v>
      </c>
      <c r="I444" s="2" t="s">
        <v>27</v>
      </c>
      <c r="J444" s="2"/>
      <c r="K444" s="22">
        <f t="shared" si="6"/>
        <v>0</v>
      </c>
    </row>
    <row r="445" spans="1:11" x14ac:dyDescent="0.45">
      <c r="A445" s="5" t="s">
        <v>538</v>
      </c>
      <c r="B445" s="5">
        <v>10</v>
      </c>
      <c r="C445" s="5" t="s">
        <v>40</v>
      </c>
      <c r="D445" s="5" t="s">
        <v>30</v>
      </c>
      <c r="E445" s="5" t="s">
        <v>35</v>
      </c>
      <c r="F445" s="5" t="s">
        <v>36</v>
      </c>
      <c r="G445" s="6" t="s">
        <v>111</v>
      </c>
      <c r="H445" s="7">
        <v>9100</v>
      </c>
      <c r="I445" s="5" t="s">
        <v>38</v>
      </c>
      <c r="J445" s="5"/>
      <c r="K445" s="22">
        <f t="shared" si="6"/>
        <v>0</v>
      </c>
    </row>
    <row r="446" spans="1:11" x14ac:dyDescent="0.45">
      <c r="A446" s="2" t="s">
        <v>539</v>
      </c>
      <c r="B446" s="2">
        <v>4</v>
      </c>
      <c r="C446" s="2" t="s">
        <v>47</v>
      </c>
      <c r="D446" s="2" t="s">
        <v>23</v>
      </c>
      <c r="E446" s="2" t="s">
        <v>13</v>
      </c>
      <c r="F446" s="2" t="s">
        <v>14</v>
      </c>
      <c r="G446" s="3" t="s">
        <v>48</v>
      </c>
      <c r="H446" s="4">
        <v>278000</v>
      </c>
      <c r="I446" s="2" t="s">
        <v>16</v>
      </c>
      <c r="J446" s="2"/>
      <c r="K446" s="22">
        <f t="shared" si="6"/>
        <v>0</v>
      </c>
    </row>
    <row r="447" spans="1:11" x14ac:dyDescent="0.45">
      <c r="A447" s="5" t="s">
        <v>540</v>
      </c>
      <c r="B447" s="5">
        <v>2</v>
      </c>
      <c r="C447" s="5" t="s">
        <v>11</v>
      </c>
      <c r="D447" s="5" t="s">
        <v>12</v>
      </c>
      <c r="E447" s="5" t="s">
        <v>35</v>
      </c>
      <c r="F447" s="5" t="s">
        <v>36</v>
      </c>
      <c r="G447" s="6" t="s">
        <v>111</v>
      </c>
      <c r="H447" s="7">
        <v>15500</v>
      </c>
      <c r="I447" s="5" t="s">
        <v>38</v>
      </c>
      <c r="J447" s="5"/>
      <c r="K447" s="22">
        <f t="shared" si="6"/>
        <v>0</v>
      </c>
    </row>
    <row r="448" spans="1:11" x14ac:dyDescent="0.45">
      <c r="A448" s="2" t="s">
        <v>541</v>
      </c>
      <c r="B448" s="2">
        <v>2</v>
      </c>
      <c r="C448" s="2" t="s">
        <v>11</v>
      </c>
      <c r="D448" s="2" t="s">
        <v>12</v>
      </c>
      <c r="E448" s="2" t="s">
        <v>35</v>
      </c>
      <c r="F448" s="2" t="s">
        <v>14</v>
      </c>
      <c r="G448" s="3" t="s">
        <v>42</v>
      </c>
      <c r="H448" s="4">
        <v>20100</v>
      </c>
      <c r="I448" s="2" t="s">
        <v>38</v>
      </c>
      <c r="J448" s="2"/>
      <c r="K448" s="22">
        <f t="shared" si="6"/>
        <v>0</v>
      </c>
    </row>
    <row r="449" spans="1:11" x14ac:dyDescent="0.45">
      <c r="A449" s="5" t="s">
        <v>542</v>
      </c>
      <c r="B449" s="5">
        <v>6</v>
      </c>
      <c r="C449" s="5" t="s">
        <v>78</v>
      </c>
      <c r="D449" s="5" t="s">
        <v>23</v>
      </c>
      <c r="E449" s="5" t="s">
        <v>71</v>
      </c>
      <c r="F449" s="5" t="s">
        <v>88</v>
      </c>
      <c r="G449" s="6" t="s">
        <v>176</v>
      </c>
      <c r="H449" s="7">
        <v>50400</v>
      </c>
      <c r="I449" s="5" t="s">
        <v>72</v>
      </c>
      <c r="J449" s="5"/>
      <c r="K449" s="22">
        <f t="shared" si="6"/>
        <v>0</v>
      </c>
    </row>
    <row r="450" spans="1:11" x14ac:dyDescent="0.45">
      <c r="A450" s="2" t="s">
        <v>543</v>
      </c>
      <c r="B450" s="2">
        <v>12</v>
      </c>
      <c r="C450" s="2" t="s">
        <v>34</v>
      </c>
      <c r="D450" s="2" t="s">
        <v>30</v>
      </c>
      <c r="E450" s="2" t="s">
        <v>71</v>
      </c>
      <c r="F450" s="2" t="s">
        <v>63</v>
      </c>
      <c r="G450" s="3" t="s">
        <v>64</v>
      </c>
      <c r="H450" s="4">
        <v>6900</v>
      </c>
      <c r="I450" s="2" t="s">
        <v>72</v>
      </c>
      <c r="J450" s="2"/>
      <c r="K450" s="22">
        <f t="shared" si="6"/>
        <v>0</v>
      </c>
    </row>
    <row r="451" spans="1:11" x14ac:dyDescent="0.45">
      <c r="A451" s="5" t="s">
        <v>544</v>
      </c>
      <c r="B451" s="5">
        <v>4</v>
      </c>
      <c r="C451" s="5" t="s">
        <v>47</v>
      </c>
      <c r="D451" s="5" t="s">
        <v>23</v>
      </c>
      <c r="E451" s="5" t="s">
        <v>35</v>
      </c>
      <c r="F451" s="5" t="s">
        <v>105</v>
      </c>
      <c r="G451" s="6" t="s">
        <v>106</v>
      </c>
      <c r="H451" s="7">
        <v>5400</v>
      </c>
      <c r="I451" s="5" t="s">
        <v>38</v>
      </c>
      <c r="J451" s="5"/>
      <c r="K451" s="22">
        <f t="shared" ref="K451:K514" si="7">IF(J451=$N$2,0,IF(J451=$N$3,1,IF(J451=$N$4,2)))</f>
        <v>0</v>
      </c>
    </row>
    <row r="452" spans="1:11" x14ac:dyDescent="0.45">
      <c r="A452" s="2" t="s">
        <v>545</v>
      </c>
      <c r="B452" s="2">
        <v>3</v>
      </c>
      <c r="C452" s="2" t="s">
        <v>18</v>
      </c>
      <c r="D452" s="2" t="s">
        <v>12</v>
      </c>
      <c r="E452" s="2" t="s">
        <v>71</v>
      </c>
      <c r="F452" s="2" t="s">
        <v>63</v>
      </c>
      <c r="G452" s="3" t="s">
        <v>97</v>
      </c>
      <c r="H452" s="4">
        <v>46700</v>
      </c>
      <c r="I452" s="2" t="s">
        <v>72</v>
      </c>
      <c r="J452" s="2"/>
      <c r="K452" s="22">
        <f t="shared" si="7"/>
        <v>0</v>
      </c>
    </row>
    <row r="453" spans="1:11" x14ac:dyDescent="0.45">
      <c r="A453" s="5" t="s">
        <v>546</v>
      </c>
      <c r="B453" s="5">
        <v>10</v>
      </c>
      <c r="C453" s="5" t="s">
        <v>40</v>
      </c>
      <c r="D453" s="5" t="s">
        <v>30</v>
      </c>
      <c r="E453" s="5" t="s">
        <v>19</v>
      </c>
      <c r="F453" s="5" t="s">
        <v>63</v>
      </c>
      <c r="G453" s="6" t="s">
        <v>97</v>
      </c>
      <c r="H453" s="7">
        <v>15500</v>
      </c>
      <c r="I453" s="5" t="s">
        <v>20</v>
      </c>
      <c r="J453" s="5"/>
      <c r="K453" s="22">
        <f t="shared" si="7"/>
        <v>0</v>
      </c>
    </row>
    <row r="454" spans="1:11" x14ac:dyDescent="0.45">
      <c r="A454" s="2" t="s">
        <v>547</v>
      </c>
      <c r="B454" s="2">
        <v>12</v>
      </c>
      <c r="C454" s="2" t="s">
        <v>34</v>
      </c>
      <c r="D454" s="2" t="s">
        <v>30</v>
      </c>
      <c r="E454" s="2" t="s">
        <v>24</v>
      </c>
      <c r="F454" s="2" t="s">
        <v>14</v>
      </c>
      <c r="G454" s="3" t="s">
        <v>15</v>
      </c>
      <c r="H454" s="4">
        <v>105000</v>
      </c>
      <c r="I454" s="2" t="s">
        <v>27</v>
      </c>
      <c r="J454" s="2"/>
      <c r="K454" s="22">
        <f t="shared" si="7"/>
        <v>0</v>
      </c>
    </row>
    <row r="455" spans="1:11" x14ac:dyDescent="0.45">
      <c r="A455" s="5" t="s">
        <v>548</v>
      </c>
      <c r="B455" s="5">
        <v>11</v>
      </c>
      <c r="C455" s="5" t="s">
        <v>29</v>
      </c>
      <c r="D455" s="5" t="s">
        <v>30</v>
      </c>
      <c r="E455" s="5" t="s">
        <v>35</v>
      </c>
      <c r="F455" s="5" t="s">
        <v>105</v>
      </c>
      <c r="G455" s="6" t="s">
        <v>106</v>
      </c>
      <c r="H455" s="7">
        <v>7500</v>
      </c>
      <c r="I455" s="5" t="s">
        <v>38</v>
      </c>
      <c r="J455" s="5"/>
      <c r="K455" s="22">
        <f t="shared" si="7"/>
        <v>0</v>
      </c>
    </row>
    <row r="456" spans="1:11" x14ac:dyDescent="0.45">
      <c r="A456" s="2" t="s">
        <v>549</v>
      </c>
      <c r="B456" s="2">
        <v>11</v>
      </c>
      <c r="C456" s="2" t="s">
        <v>29</v>
      </c>
      <c r="D456" s="2" t="s">
        <v>30</v>
      </c>
      <c r="E456" s="2" t="s">
        <v>71</v>
      </c>
      <c r="F456" s="2" t="s">
        <v>14</v>
      </c>
      <c r="G456" s="3" t="s">
        <v>48</v>
      </c>
      <c r="H456" s="4">
        <v>88100</v>
      </c>
      <c r="I456" s="2" t="s">
        <v>72</v>
      </c>
      <c r="J456" s="2"/>
      <c r="K456" s="22">
        <f t="shared" si="7"/>
        <v>0</v>
      </c>
    </row>
    <row r="457" spans="1:11" x14ac:dyDescent="0.45">
      <c r="A457" s="5" t="s">
        <v>550</v>
      </c>
      <c r="B457" s="5">
        <v>11</v>
      </c>
      <c r="C457" s="5" t="s">
        <v>29</v>
      </c>
      <c r="D457" s="5" t="s">
        <v>30</v>
      </c>
      <c r="E457" s="5" t="s">
        <v>71</v>
      </c>
      <c r="F457" s="5" t="s">
        <v>63</v>
      </c>
      <c r="G457" s="6" t="s">
        <v>64</v>
      </c>
      <c r="H457" s="7">
        <v>2100</v>
      </c>
      <c r="I457" s="5" t="s">
        <v>72</v>
      </c>
      <c r="J457" s="5"/>
      <c r="K457" s="22">
        <f t="shared" si="7"/>
        <v>0</v>
      </c>
    </row>
    <row r="458" spans="1:11" x14ac:dyDescent="0.45">
      <c r="A458" s="2" t="s">
        <v>551</v>
      </c>
      <c r="B458" s="2">
        <v>8</v>
      </c>
      <c r="C458" s="2" t="s">
        <v>60</v>
      </c>
      <c r="D458" s="2" t="s">
        <v>41</v>
      </c>
      <c r="E458" s="2" t="s">
        <v>71</v>
      </c>
      <c r="F458" s="2" t="s">
        <v>88</v>
      </c>
      <c r="G458" s="3" t="s">
        <v>176</v>
      </c>
      <c r="H458" s="4">
        <v>42700</v>
      </c>
      <c r="I458" s="2" t="s">
        <v>72</v>
      </c>
      <c r="J458" s="2"/>
      <c r="K458" s="22">
        <f t="shared" si="7"/>
        <v>0</v>
      </c>
    </row>
    <row r="459" spans="1:11" x14ac:dyDescent="0.45">
      <c r="A459" s="5" t="s">
        <v>552</v>
      </c>
      <c r="B459" s="5">
        <v>6</v>
      </c>
      <c r="C459" s="5" t="s">
        <v>78</v>
      </c>
      <c r="D459" s="5" t="s">
        <v>23</v>
      </c>
      <c r="E459" s="5" t="s">
        <v>24</v>
      </c>
      <c r="F459" s="5" t="s">
        <v>36</v>
      </c>
      <c r="G459" s="6" t="s">
        <v>37</v>
      </c>
      <c r="H459" s="7">
        <v>300</v>
      </c>
      <c r="I459" s="5" t="s">
        <v>27</v>
      </c>
      <c r="J459" s="5"/>
      <c r="K459" s="22">
        <f t="shared" si="7"/>
        <v>0</v>
      </c>
    </row>
    <row r="460" spans="1:11" x14ac:dyDescent="0.45">
      <c r="A460" s="2" t="s">
        <v>553</v>
      </c>
      <c r="B460" s="2">
        <v>1</v>
      </c>
      <c r="C460" s="2" t="s">
        <v>66</v>
      </c>
      <c r="D460" s="2" t="s">
        <v>12</v>
      </c>
      <c r="E460" s="2" t="s">
        <v>57</v>
      </c>
      <c r="F460" s="2" t="s">
        <v>14</v>
      </c>
      <c r="G460" s="3" t="s">
        <v>15</v>
      </c>
      <c r="H460" s="4">
        <v>113100</v>
      </c>
      <c r="I460" s="2" t="s">
        <v>58</v>
      </c>
      <c r="J460" s="2"/>
      <c r="K460" s="22">
        <f t="shared" si="7"/>
        <v>0</v>
      </c>
    </row>
    <row r="461" spans="1:11" x14ac:dyDescent="0.45">
      <c r="A461" s="5" t="s">
        <v>554</v>
      </c>
      <c r="B461" s="5">
        <v>9</v>
      </c>
      <c r="C461" s="5" t="s">
        <v>40</v>
      </c>
      <c r="D461" s="5" t="s">
        <v>41</v>
      </c>
      <c r="E461" s="5" t="s">
        <v>19</v>
      </c>
      <c r="F461" s="5" t="s">
        <v>63</v>
      </c>
      <c r="G461" s="6" t="s">
        <v>69</v>
      </c>
      <c r="H461" s="7">
        <v>4200</v>
      </c>
      <c r="I461" s="5" t="s">
        <v>20</v>
      </c>
      <c r="J461" s="5"/>
      <c r="K461" s="22">
        <f t="shared" si="7"/>
        <v>0</v>
      </c>
    </row>
    <row r="462" spans="1:11" x14ac:dyDescent="0.45">
      <c r="A462" s="2" t="s">
        <v>555</v>
      </c>
      <c r="B462" s="2">
        <v>8</v>
      </c>
      <c r="C462" s="2" t="s">
        <v>60</v>
      </c>
      <c r="D462" s="2" t="s">
        <v>41</v>
      </c>
      <c r="E462" s="2" t="s">
        <v>24</v>
      </c>
      <c r="F462" s="2" t="s">
        <v>36</v>
      </c>
      <c r="G462" s="3" t="s">
        <v>37</v>
      </c>
      <c r="H462" s="4">
        <v>2700</v>
      </c>
      <c r="I462" s="2" t="s">
        <v>27</v>
      </c>
      <c r="J462" s="2"/>
      <c r="K462" s="22">
        <f t="shared" si="7"/>
        <v>0</v>
      </c>
    </row>
    <row r="463" spans="1:11" x14ac:dyDescent="0.45">
      <c r="A463" s="5" t="s">
        <v>556</v>
      </c>
      <c r="B463" s="5">
        <v>6</v>
      </c>
      <c r="C463" s="5" t="s">
        <v>78</v>
      </c>
      <c r="D463" s="5" t="s">
        <v>23</v>
      </c>
      <c r="E463" s="5" t="s">
        <v>57</v>
      </c>
      <c r="F463" s="5" t="s">
        <v>63</v>
      </c>
      <c r="G463" s="6" t="s">
        <v>69</v>
      </c>
      <c r="H463" s="7">
        <v>2800</v>
      </c>
      <c r="I463" s="5" t="s">
        <v>58</v>
      </c>
      <c r="J463" s="5"/>
      <c r="K463" s="22">
        <f t="shared" si="7"/>
        <v>0</v>
      </c>
    </row>
    <row r="464" spans="1:11" x14ac:dyDescent="0.45">
      <c r="A464" s="2" t="s">
        <v>557</v>
      </c>
      <c r="B464" s="2">
        <v>1</v>
      </c>
      <c r="C464" s="2" t="s">
        <v>66</v>
      </c>
      <c r="D464" s="2" t="s">
        <v>12</v>
      </c>
      <c r="E464" s="2" t="s">
        <v>71</v>
      </c>
      <c r="F464" s="2" t="s">
        <v>63</v>
      </c>
      <c r="G464" s="3" t="s">
        <v>97</v>
      </c>
      <c r="H464" s="4">
        <v>51500</v>
      </c>
      <c r="I464" s="2" t="s">
        <v>72</v>
      </c>
      <c r="J464" s="2"/>
      <c r="K464" s="22">
        <f t="shared" si="7"/>
        <v>0</v>
      </c>
    </row>
    <row r="465" spans="1:11" x14ac:dyDescent="0.45">
      <c r="A465" s="5" t="s">
        <v>558</v>
      </c>
      <c r="B465" s="5">
        <v>10</v>
      </c>
      <c r="C465" s="5" t="s">
        <v>40</v>
      </c>
      <c r="D465" s="5" t="s">
        <v>30</v>
      </c>
      <c r="E465" s="5" t="s">
        <v>35</v>
      </c>
      <c r="F465" s="5" t="s">
        <v>14</v>
      </c>
      <c r="G465" s="6" t="s">
        <v>48</v>
      </c>
      <c r="H465" s="7">
        <v>11000</v>
      </c>
      <c r="I465" s="5" t="s">
        <v>38</v>
      </c>
      <c r="J465" s="5"/>
      <c r="K465" s="22">
        <f t="shared" si="7"/>
        <v>0</v>
      </c>
    </row>
    <row r="466" spans="1:11" x14ac:dyDescent="0.45">
      <c r="A466" s="2" t="s">
        <v>559</v>
      </c>
      <c r="B466" s="2">
        <v>3</v>
      </c>
      <c r="C466" s="2" t="s">
        <v>18</v>
      </c>
      <c r="D466" s="2" t="s">
        <v>12</v>
      </c>
      <c r="E466" s="2" t="s">
        <v>35</v>
      </c>
      <c r="F466" s="2" t="s">
        <v>105</v>
      </c>
      <c r="G466" s="3" t="s">
        <v>106</v>
      </c>
      <c r="H466" s="4">
        <v>21300</v>
      </c>
      <c r="I466" s="2" t="s">
        <v>38</v>
      </c>
      <c r="J466" s="2" t="s">
        <v>108</v>
      </c>
      <c r="K466" s="22">
        <f t="shared" si="7"/>
        <v>1</v>
      </c>
    </row>
    <row r="467" spans="1:11" x14ac:dyDescent="0.45">
      <c r="A467" s="5" t="s">
        <v>560</v>
      </c>
      <c r="B467" s="5">
        <v>4</v>
      </c>
      <c r="C467" s="5" t="s">
        <v>47</v>
      </c>
      <c r="D467" s="5" t="s">
        <v>23</v>
      </c>
      <c r="E467" s="5" t="s">
        <v>35</v>
      </c>
      <c r="F467" s="5" t="s">
        <v>36</v>
      </c>
      <c r="G467" s="6" t="s">
        <v>126</v>
      </c>
      <c r="H467" s="7">
        <v>5500</v>
      </c>
      <c r="I467" s="5" t="s">
        <v>38</v>
      </c>
      <c r="J467" s="5"/>
      <c r="K467" s="22">
        <f t="shared" si="7"/>
        <v>0</v>
      </c>
    </row>
    <row r="468" spans="1:11" x14ac:dyDescent="0.45">
      <c r="A468" s="2" t="s">
        <v>561</v>
      </c>
      <c r="B468" s="2">
        <v>9</v>
      </c>
      <c r="C468" s="2" t="s">
        <v>40</v>
      </c>
      <c r="D468" s="2" t="s">
        <v>41</v>
      </c>
      <c r="E468" s="2" t="s">
        <v>35</v>
      </c>
      <c r="F468" s="2" t="s">
        <v>14</v>
      </c>
      <c r="G468" s="3" t="s">
        <v>42</v>
      </c>
      <c r="H468" s="4">
        <v>19900</v>
      </c>
      <c r="I468" s="2" t="s">
        <v>38</v>
      </c>
      <c r="J468" s="2"/>
      <c r="K468" s="22">
        <f t="shared" si="7"/>
        <v>0</v>
      </c>
    </row>
    <row r="469" spans="1:11" x14ac:dyDescent="0.45">
      <c r="A469" s="5" t="s">
        <v>562</v>
      </c>
      <c r="B469" s="5">
        <v>10</v>
      </c>
      <c r="C469" s="5" t="s">
        <v>40</v>
      </c>
      <c r="D469" s="5" t="s">
        <v>30</v>
      </c>
      <c r="E469" s="5" t="s">
        <v>57</v>
      </c>
      <c r="F469" s="5" t="s">
        <v>14</v>
      </c>
      <c r="G469" s="6" t="s">
        <v>48</v>
      </c>
      <c r="H469" s="7">
        <v>12700</v>
      </c>
      <c r="I469" s="5" t="s">
        <v>58</v>
      </c>
      <c r="J469" s="5"/>
      <c r="K469" s="22">
        <f t="shared" si="7"/>
        <v>0</v>
      </c>
    </row>
    <row r="470" spans="1:11" x14ac:dyDescent="0.45">
      <c r="A470" s="2" t="s">
        <v>563</v>
      </c>
      <c r="B470" s="2">
        <v>3</v>
      </c>
      <c r="C470" s="2" t="s">
        <v>18</v>
      </c>
      <c r="D470" s="2" t="s">
        <v>12</v>
      </c>
      <c r="E470" s="2" t="s">
        <v>24</v>
      </c>
      <c r="F470" s="2" t="s">
        <v>25</v>
      </c>
      <c r="G470" s="3" t="s">
        <v>100</v>
      </c>
      <c r="H470" s="4">
        <v>16800</v>
      </c>
      <c r="I470" s="2" t="s">
        <v>27</v>
      </c>
      <c r="J470" s="2"/>
      <c r="K470" s="22">
        <f t="shared" si="7"/>
        <v>0</v>
      </c>
    </row>
    <row r="471" spans="1:11" x14ac:dyDescent="0.45">
      <c r="A471" s="5" t="s">
        <v>564</v>
      </c>
      <c r="B471" s="5">
        <v>7</v>
      </c>
      <c r="C471" s="5" t="s">
        <v>56</v>
      </c>
      <c r="D471" s="5" t="s">
        <v>41</v>
      </c>
      <c r="E471" s="5" t="s">
        <v>57</v>
      </c>
      <c r="F471" s="5" t="s">
        <v>63</v>
      </c>
      <c r="G471" s="6" t="s">
        <v>64</v>
      </c>
      <c r="H471" s="7">
        <v>1300</v>
      </c>
      <c r="I471" s="5" t="s">
        <v>58</v>
      </c>
      <c r="J471" s="5"/>
      <c r="K471" s="22">
        <f t="shared" si="7"/>
        <v>0</v>
      </c>
    </row>
    <row r="472" spans="1:11" x14ac:dyDescent="0.45">
      <c r="A472" s="2" t="s">
        <v>565</v>
      </c>
      <c r="B472" s="2">
        <v>5</v>
      </c>
      <c r="C472" s="2" t="s">
        <v>22</v>
      </c>
      <c r="D472" s="2" t="s">
        <v>23</v>
      </c>
      <c r="E472" s="2" t="s">
        <v>19</v>
      </c>
      <c r="F472" s="2" t="s">
        <v>31</v>
      </c>
      <c r="G472" s="3" t="s">
        <v>32</v>
      </c>
      <c r="H472" s="4">
        <v>36200</v>
      </c>
      <c r="I472" s="2" t="s">
        <v>20</v>
      </c>
      <c r="J472" s="2"/>
      <c r="K472" s="22">
        <f t="shared" si="7"/>
        <v>0</v>
      </c>
    </row>
    <row r="473" spans="1:11" x14ac:dyDescent="0.45">
      <c r="A473" s="5" t="s">
        <v>566</v>
      </c>
      <c r="B473" s="5">
        <v>1</v>
      </c>
      <c r="C473" s="5" t="s">
        <v>66</v>
      </c>
      <c r="D473" s="5" t="s">
        <v>12</v>
      </c>
      <c r="E473" s="5" t="s">
        <v>71</v>
      </c>
      <c r="F473" s="5" t="s">
        <v>94</v>
      </c>
      <c r="G473" s="6" t="s">
        <v>157</v>
      </c>
      <c r="H473" s="7">
        <v>11100</v>
      </c>
      <c r="I473" s="5" t="s">
        <v>72</v>
      </c>
      <c r="J473" s="5"/>
      <c r="K473" s="22">
        <f t="shared" si="7"/>
        <v>0</v>
      </c>
    </row>
    <row r="474" spans="1:11" x14ac:dyDescent="0.45">
      <c r="A474" s="2" t="s">
        <v>567</v>
      </c>
      <c r="B474" s="2">
        <v>4</v>
      </c>
      <c r="C474" s="2" t="s">
        <v>47</v>
      </c>
      <c r="D474" s="2" t="s">
        <v>23</v>
      </c>
      <c r="E474" s="2" t="s">
        <v>35</v>
      </c>
      <c r="F474" s="2" t="s">
        <v>75</v>
      </c>
      <c r="G474" s="3" t="s">
        <v>179</v>
      </c>
      <c r="H474" s="4">
        <v>7800</v>
      </c>
      <c r="I474" s="2" t="s">
        <v>38</v>
      </c>
      <c r="J474" s="2"/>
      <c r="K474" s="22">
        <f t="shared" si="7"/>
        <v>0</v>
      </c>
    </row>
    <row r="475" spans="1:11" x14ac:dyDescent="0.45">
      <c r="A475" s="5" t="s">
        <v>568</v>
      </c>
      <c r="B475" s="5">
        <v>7</v>
      </c>
      <c r="C475" s="5" t="s">
        <v>56</v>
      </c>
      <c r="D475" s="5" t="s">
        <v>41</v>
      </c>
      <c r="E475" s="5" t="s">
        <v>13</v>
      </c>
      <c r="F475" s="5" t="s">
        <v>102</v>
      </c>
      <c r="G475" s="6" t="s">
        <v>140</v>
      </c>
      <c r="H475" s="7">
        <v>37700</v>
      </c>
      <c r="I475" s="5" t="s">
        <v>16</v>
      </c>
      <c r="J475" s="5"/>
      <c r="K475" s="22">
        <f t="shared" si="7"/>
        <v>0</v>
      </c>
    </row>
    <row r="476" spans="1:11" x14ac:dyDescent="0.45">
      <c r="A476" s="2" t="s">
        <v>569</v>
      </c>
      <c r="B476" s="2">
        <v>9</v>
      </c>
      <c r="C476" s="2" t="s">
        <v>40</v>
      </c>
      <c r="D476" s="2" t="s">
        <v>41</v>
      </c>
      <c r="E476" s="2" t="s">
        <v>13</v>
      </c>
      <c r="F476" s="2" t="s">
        <v>63</v>
      </c>
      <c r="G476" s="3" t="s">
        <v>69</v>
      </c>
      <c r="H476" s="4">
        <v>2100</v>
      </c>
      <c r="I476" s="2" t="s">
        <v>16</v>
      </c>
      <c r="J476" s="2"/>
      <c r="K476" s="22">
        <f t="shared" si="7"/>
        <v>0</v>
      </c>
    </row>
    <row r="477" spans="1:11" x14ac:dyDescent="0.45">
      <c r="A477" s="5" t="s">
        <v>570</v>
      </c>
      <c r="B477" s="5">
        <v>5</v>
      </c>
      <c r="C477" s="5" t="s">
        <v>22</v>
      </c>
      <c r="D477" s="5" t="s">
        <v>23</v>
      </c>
      <c r="E477" s="5" t="s">
        <v>71</v>
      </c>
      <c r="F477" s="5" t="s">
        <v>14</v>
      </c>
      <c r="G477" s="6" t="s">
        <v>42</v>
      </c>
      <c r="H477" s="7">
        <v>316500</v>
      </c>
      <c r="I477" s="5" t="s">
        <v>72</v>
      </c>
      <c r="J477" s="5"/>
      <c r="K477" s="22">
        <f t="shared" si="7"/>
        <v>0</v>
      </c>
    </row>
    <row r="478" spans="1:11" x14ac:dyDescent="0.45">
      <c r="A478" s="2" t="s">
        <v>571</v>
      </c>
      <c r="B478" s="2">
        <v>12</v>
      </c>
      <c r="C478" s="2" t="s">
        <v>34</v>
      </c>
      <c r="D478" s="2" t="s">
        <v>30</v>
      </c>
      <c r="E478" s="2" t="s">
        <v>57</v>
      </c>
      <c r="F478" s="2" t="s">
        <v>75</v>
      </c>
      <c r="G478" s="3" t="s">
        <v>76</v>
      </c>
      <c r="H478" s="4">
        <v>24200</v>
      </c>
      <c r="I478" s="2" t="s">
        <v>58</v>
      </c>
      <c r="J478" s="2"/>
      <c r="K478" s="22">
        <f t="shared" si="7"/>
        <v>0</v>
      </c>
    </row>
    <row r="479" spans="1:11" x14ac:dyDescent="0.45">
      <c r="A479" s="5" t="s">
        <v>572</v>
      </c>
      <c r="B479" s="5">
        <v>3</v>
      </c>
      <c r="C479" s="5" t="s">
        <v>18</v>
      </c>
      <c r="D479" s="5" t="s">
        <v>12</v>
      </c>
      <c r="E479" s="5" t="s">
        <v>19</v>
      </c>
      <c r="F479" s="5" t="s">
        <v>31</v>
      </c>
      <c r="G479" s="6" t="s">
        <v>81</v>
      </c>
      <c r="H479" s="7">
        <v>31300</v>
      </c>
      <c r="I479" s="5" t="s">
        <v>20</v>
      </c>
      <c r="J479" s="5"/>
      <c r="K479" s="22">
        <f t="shared" si="7"/>
        <v>0</v>
      </c>
    </row>
    <row r="480" spans="1:11" x14ac:dyDescent="0.45">
      <c r="A480" s="2" t="s">
        <v>573</v>
      </c>
      <c r="B480" s="2">
        <v>3</v>
      </c>
      <c r="C480" s="2" t="s">
        <v>18</v>
      </c>
      <c r="D480" s="2" t="s">
        <v>12</v>
      </c>
      <c r="E480" s="2" t="s">
        <v>19</v>
      </c>
      <c r="F480" s="2" t="s">
        <v>31</v>
      </c>
      <c r="G480" s="3" t="s">
        <v>32</v>
      </c>
      <c r="H480" s="4">
        <v>4400</v>
      </c>
      <c r="I480" s="2" t="s">
        <v>20</v>
      </c>
      <c r="J480" s="2"/>
      <c r="K480" s="22">
        <f t="shared" si="7"/>
        <v>0</v>
      </c>
    </row>
    <row r="481" spans="1:11" x14ac:dyDescent="0.45">
      <c r="A481" s="5" t="s">
        <v>574</v>
      </c>
      <c r="B481" s="5">
        <v>8</v>
      </c>
      <c r="C481" s="5" t="s">
        <v>60</v>
      </c>
      <c r="D481" s="5" t="s">
        <v>41</v>
      </c>
      <c r="E481" s="5" t="s">
        <v>13</v>
      </c>
      <c r="F481" s="5" t="s">
        <v>102</v>
      </c>
      <c r="G481" s="6" t="s">
        <v>243</v>
      </c>
      <c r="H481" s="7">
        <v>90100</v>
      </c>
      <c r="I481" s="5" t="s">
        <v>16</v>
      </c>
      <c r="J481" s="5"/>
      <c r="K481" s="22">
        <f t="shared" si="7"/>
        <v>0</v>
      </c>
    </row>
    <row r="482" spans="1:11" x14ac:dyDescent="0.45">
      <c r="A482" s="2" t="s">
        <v>575</v>
      </c>
      <c r="B482" s="2">
        <v>11</v>
      </c>
      <c r="C482" s="2" t="s">
        <v>29</v>
      </c>
      <c r="D482" s="2" t="s">
        <v>30</v>
      </c>
      <c r="E482" s="2" t="s">
        <v>24</v>
      </c>
      <c r="F482" s="2" t="s">
        <v>14</v>
      </c>
      <c r="G482" s="3" t="s">
        <v>15</v>
      </c>
      <c r="H482" s="4">
        <v>175200</v>
      </c>
      <c r="I482" s="2" t="s">
        <v>27</v>
      </c>
      <c r="J482" s="2"/>
      <c r="K482" s="22">
        <f t="shared" si="7"/>
        <v>0</v>
      </c>
    </row>
    <row r="483" spans="1:11" x14ac:dyDescent="0.45">
      <c r="A483" s="5" t="s">
        <v>576</v>
      </c>
      <c r="B483" s="5">
        <v>7</v>
      </c>
      <c r="C483" s="5" t="s">
        <v>56</v>
      </c>
      <c r="D483" s="5" t="s">
        <v>41</v>
      </c>
      <c r="E483" s="5" t="s">
        <v>13</v>
      </c>
      <c r="F483" s="5" t="s">
        <v>14</v>
      </c>
      <c r="G483" s="6" t="s">
        <v>42</v>
      </c>
      <c r="H483" s="7">
        <v>54600</v>
      </c>
      <c r="I483" s="5" t="s">
        <v>16</v>
      </c>
      <c r="J483" s="5"/>
      <c r="K483" s="22">
        <f t="shared" si="7"/>
        <v>0</v>
      </c>
    </row>
    <row r="484" spans="1:11" x14ac:dyDescent="0.45">
      <c r="A484" s="2" t="s">
        <v>577</v>
      </c>
      <c r="B484" s="2">
        <v>4</v>
      </c>
      <c r="C484" s="2" t="s">
        <v>47</v>
      </c>
      <c r="D484" s="2" t="s">
        <v>23</v>
      </c>
      <c r="E484" s="2" t="s">
        <v>57</v>
      </c>
      <c r="F484" s="2" t="s">
        <v>85</v>
      </c>
      <c r="G484" s="3" t="s">
        <v>86</v>
      </c>
      <c r="H484" s="4">
        <v>11300</v>
      </c>
      <c r="I484" s="2" t="s">
        <v>58</v>
      </c>
      <c r="J484" s="2"/>
      <c r="K484" s="22">
        <f t="shared" si="7"/>
        <v>0</v>
      </c>
    </row>
    <row r="485" spans="1:11" x14ac:dyDescent="0.45">
      <c r="A485" s="5" t="s">
        <v>578</v>
      </c>
      <c r="B485" s="5">
        <v>12</v>
      </c>
      <c r="C485" s="5" t="s">
        <v>34</v>
      </c>
      <c r="D485" s="5" t="s">
        <v>30</v>
      </c>
      <c r="E485" s="5" t="s">
        <v>57</v>
      </c>
      <c r="F485" s="5" t="s">
        <v>14</v>
      </c>
      <c r="G485" s="6" t="s">
        <v>42</v>
      </c>
      <c r="H485" s="7">
        <v>57500</v>
      </c>
      <c r="I485" s="5" t="s">
        <v>58</v>
      </c>
      <c r="J485" s="5"/>
      <c r="K485" s="22">
        <f t="shared" si="7"/>
        <v>0</v>
      </c>
    </row>
    <row r="486" spans="1:11" x14ac:dyDescent="0.45">
      <c r="A486" s="2" t="s">
        <v>579</v>
      </c>
      <c r="B486" s="2">
        <v>8</v>
      </c>
      <c r="C486" s="2" t="s">
        <v>60</v>
      </c>
      <c r="D486" s="2" t="s">
        <v>41</v>
      </c>
      <c r="E486" s="2" t="s">
        <v>13</v>
      </c>
      <c r="F486" s="2" t="s">
        <v>102</v>
      </c>
      <c r="G486" s="3" t="s">
        <v>243</v>
      </c>
      <c r="H486" s="4">
        <v>40100</v>
      </c>
      <c r="I486" s="2" t="s">
        <v>16</v>
      </c>
      <c r="J486" s="2"/>
      <c r="K486" s="22">
        <f t="shared" si="7"/>
        <v>0</v>
      </c>
    </row>
    <row r="487" spans="1:11" x14ac:dyDescent="0.45">
      <c r="A487" s="5" t="s">
        <v>580</v>
      </c>
      <c r="B487" s="5">
        <v>3</v>
      </c>
      <c r="C487" s="5" t="s">
        <v>18</v>
      </c>
      <c r="D487" s="5" t="s">
        <v>12</v>
      </c>
      <c r="E487" s="5" t="s">
        <v>19</v>
      </c>
      <c r="F487" s="5" t="s">
        <v>31</v>
      </c>
      <c r="G487" s="6" t="s">
        <v>79</v>
      </c>
      <c r="H487" s="7">
        <v>3300</v>
      </c>
      <c r="I487" s="5" t="s">
        <v>20</v>
      </c>
      <c r="J487" s="5"/>
      <c r="K487" s="22">
        <f t="shared" si="7"/>
        <v>0</v>
      </c>
    </row>
    <row r="488" spans="1:11" x14ac:dyDescent="0.45">
      <c r="A488" s="2" t="s">
        <v>581</v>
      </c>
      <c r="B488" s="2">
        <v>3</v>
      </c>
      <c r="C488" s="2" t="s">
        <v>18</v>
      </c>
      <c r="D488" s="2" t="s">
        <v>12</v>
      </c>
      <c r="E488" s="2" t="s">
        <v>71</v>
      </c>
      <c r="F488" s="2" t="s">
        <v>88</v>
      </c>
      <c r="G488" s="3" t="s">
        <v>258</v>
      </c>
      <c r="H488" s="4">
        <v>24600</v>
      </c>
      <c r="I488" s="2" t="s">
        <v>72</v>
      </c>
      <c r="J488" s="2"/>
      <c r="K488" s="22">
        <f t="shared" si="7"/>
        <v>0</v>
      </c>
    </row>
    <row r="489" spans="1:11" x14ac:dyDescent="0.45">
      <c r="A489" s="5" t="s">
        <v>582</v>
      </c>
      <c r="B489" s="5">
        <v>5</v>
      </c>
      <c r="C489" s="5" t="s">
        <v>22</v>
      </c>
      <c r="D489" s="5" t="s">
        <v>23</v>
      </c>
      <c r="E489" s="5" t="s">
        <v>19</v>
      </c>
      <c r="F489" s="5" t="s">
        <v>53</v>
      </c>
      <c r="G489" s="6" t="s">
        <v>54</v>
      </c>
      <c r="H489" s="7">
        <v>15200</v>
      </c>
      <c r="I489" s="5" t="s">
        <v>20</v>
      </c>
      <c r="J489" s="5"/>
      <c r="K489" s="22">
        <f t="shared" si="7"/>
        <v>0</v>
      </c>
    </row>
    <row r="490" spans="1:11" x14ac:dyDescent="0.45">
      <c r="A490" s="2" t="s">
        <v>583</v>
      </c>
      <c r="B490" s="2">
        <v>6</v>
      </c>
      <c r="C490" s="2" t="s">
        <v>78</v>
      </c>
      <c r="D490" s="2" t="s">
        <v>23</v>
      </c>
      <c r="E490" s="2" t="s">
        <v>13</v>
      </c>
      <c r="F490" s="2" t="s">
        <v>14</v>
      </c>
      <c r="G490" s="3" t="s">
        <v>48</v>
      </c>
      <c r="H490" s="4">
        <v>179300</v>
      </c>
      <c r="I490" s="2" t="s">
        <v>16</v>
      </c>
      <c r="J490" s="2"/>
      <c r="K490" s="22">
        <f t="shared" si="7"/>
        <v>0</v>
      </c>
    </row>
    <row r="491" spans="1:11" x14ac:dyDescent="0.45">
      <c r="A491" s="5" t="s">
        <v>584</v>
      </c>
      <c r="B491" s="5">
        <v>9</v>
      </c>
      <c r="C491" s="5" t="s">
        <v>40</v>
      </c>
      <c r="D491" s="5" t="s">
        <v>41</v>
      </c>
      <c r="E491" s="5" t="s">
        <v>35</v>
      </c>
      <c r="F491" s="5" t="s">
        <v>105</v>
      </c>
      <c r="G491" s="6" t="s">
        <v>150</v>
      </c>
      <c r="H491" s="7">
        <v>11800</v>
      </c>
      <c r="I491" s="5" t="s">
        <v>38</v>
      </c>
      <c r="J491" s="5"/>
      <c r="K491" s="22">
        <f t="shared" si="7"/>
        <v>0</v>
      </c>
    </row>
    <row r="492" spans="1:11" x14ac:dyDescent="0.45">
      <c r="A492" s="2" t="s">
        <v>585</v>
      </c>
      <c r="B492" s="2">
        <v>10</v>
      </c>
      <c r="C492" s="2" t="s">
        <v>40</v>
      </c>
      <c r="D492" s="2" t="s">
        <v>30</v>
      </c>
      <c r="E492" s="2" t="s">
        <v>71</v>
      </c>
      <c r="F492" s="2" t="s">
        <v>14</v>
      </c>
      <c r="G492" s="3" t="s">
        <v>48</v>
      </c>
      <c r="H492" s="4">
        <v>36300</v>
      </c>
      <c r="I492" s="2" t="s">
        <v>72</v>
      </c>
      <c r="J492" s="2"/>
      <c r="K492" s="22">
        <f t="shared" si="7"/>
        <v>0</v>
      </c>
    </row>
    <row r="493" spans="1:11" x14ac:dyDescent="0.45">
      <c r="A493" s="5" t="s">
        <v>586</v>
      </c>
      <c r="B493" s="5">
        <v>1</v>
      </c>
      <c r="C493" s="5" t="s">
        <v>66</v>
      </c>
      <c r="D493" s="5" t="s">
        <v>12</v>
      </c>
      <c r="E493" s="5" t="s">
        <v>71</v>
      </c>
      <c r="F493" s="5" t="s">
        <v>94</v>
      </c>
      <c r="G493" s="6" t="s">
        <v>138</v>
      </c>
      <c r="H493" s="7">
        <v>12800</v>
      </c>
      <c r="I493" s="5" t="s">
        <v>72</v>
      </c>
      <c r="J493" s="5"/>
      <c r="K493" s="22">
        <f t="shared" si="7"/>
        <v>0</v>
      </c>
    </row>
    <row r="494" spans="1:11" x14ac:dyDescent="0.45">
      <c r="A494" s="2" t="s">
        <v>587</v>
      </c>
      <c r="B494" s="2">
        <v>6</v>
      </c>
      <c r="C494" s="2" t="s">
        <v>78</v>
      </c>
      <c r="D494" s="2" t="s">
        <v>23</v>
      </c>
      <c r="E494" s="2" t="s">
        <v>19</v>
      </c>
      <c r="F494" s="2" t="s">
        <v>14</v>
      </c>
      <c r="G494" s="3" t="s">
        <v>15</v>
      </c>
      <c r="H494" s="4">
        <v>97100</v>
      </c>
      <c r="I494" s="2" t="s">
        <v>20</v>
      </c>
      <c r="J494" s="2"/>
      <c r="K494" s="22">
        <f t="shared" si="7"/>
        <v>0</v>
      </c>
    </row>
    <row r="495" spans="1:11" x14ac:dyDescent="0.45">
      <c r="A495" s="5" t="s">
        <v>588</v>
      </c>
      <c r="B495" s="5">
        <v>12</v>
      </c>
      <c r="C495" s="5" t="s">
        <v>34</v>
      </c>
      <c r="D495" s="5" t="s">
        <v>30</v>
      </c>
      <c r="E495" s="5" t="s">
        <v>35</v>
      </c>
      <c r="F495" s="5" t="s">
        <v>75</v>
      </c>
      <c r="G495" s="6" t="s">
        <v>76</v>
      </c>
      <c r="H495" s="7">
        <v>1200</v>
      </c>
      <c r="I495" s="5" t="s">
        <v>38</v>
      </c>
      <c r="J495" s="5"/>
      <c r="K495" s="22">
        <f t="shared" si="7"/>
        <v>0</v>
      </c>
    </row>
    <row r="496" spans="1:11" x14ac:dyDescent="0.45">
      <c r="A496" s="2" t="s">
        <v>589</v>
      </c>
      <c r="B496" s="2">
        <v>3</v>
      </c>
      <c r="C496" s="2" t="s">
        <v>18</v>
      </c>
      <c r="D496" s="2" t="s">
        <v>12</v>
      </c>
      <c r="E496" s="2" t="s">
        <v>35</v>
      </c>
      <c r="F496" s="2" t="s">
        <v>75</v>
      </c>
      <c r="G496" s="3" t="s">
        <v>76</v>
      </c>
      <c r="H496" s="4">
        <v>8500</v>
      </c>
      <c r="I496" s="2" t="s">
        <v>38</v>
      </c>
      <c r="J496" s="2"/>
      <c r="K496" s="22">
        <f t="shared" si="7"/>
        <v>0</v>
      </c>
    </row>
    <row r="497" spans="1:11" x14ac:dyDescent="0.45">
      <c r="A497" s="5" t="s">
        <v>590</v>
      </c>
      <c r="B497" s="5">
        <v>3</v>
      </c>
      <c r="C497" s="5" t="s">
        <v>18</v>
      </c>
      <c r="D497" s="5" t="s">
        <v>12</v>
      </c>
      <c r="E497" s="5" t="s">
        <v>57</v>
      </c>
      <c r="F497" s="5" t="s">
        <v>14</v>
      </c>
      <c r="G497" s="6" t="s">
        <v>15</v>
      </c>
      <c r="H497" s="7">
        <v>24200</v>
      </c>
      <c r="I497" s="5" t="s">
        <v>58</v>
      </c>
      <c r="J497" s="5"/>
      <c r="K497" s="22">
        <f t="shared" si="7"/>
        <v>0</v>
      </c>
    </row>
    <row r="498" spans="1:11" x14ac:dyDescent="0.45">
      <c r="A498" s="2" t="s">
        <v>591</v>
      </c>
      <c r="B498" s="2">
        <v>1</v>
      </c>
      <c r="C498" s="2" t="s">
        <v>66</v>
      </c>
      <c r="D498" s="2" t="s">
        <v>12</v>
      </c>
      <c r="E498" s="2" t="s">
        <v>13</v>
      </c>
      <c r="F498" s="2" t="s">
        <v>50</v>
      </c>
      <c r="G498" s="3" t="s">
        <v>144</v>
      </c>
      <c r="H498" s="4">
        <v>10300</v>
      </c>
      <c r="I498" s="2" t="s">
        <v>16</v>
      </c>
      <c r="J498" s="2"/>
      <c r="K498" s="22">
        <f t="shared" si="7"/>
        <v>0</v>
      </c>
    </row>
    <row r="499" spans="1:11" x14ac:dyDescent="0.45">
      <c r="A499" s="5" t="s">
        <v>592</v>
      </c>
      <c r="B499" s="5">
        <v>8</v>
      </c>
      <c r="C499" s="5" t="s">
        <v>60</v>
      </c>
      <c r="D499" s="5" t="s">
        <v>41</v>
      </c>
      <c r="E499" s="5" t="s">
        <v>71</v>
      </c>
      <c r="F499" s="5" t="s">
        <v>14</v>
      </c>
      <c r="G499" s="6" t="s">
        <v>48</v>
      </c>
      <c r="H499" s="7">
        <v>90000</v>
      </c>
      <c r="I499" s="5" t="s">
        <v>72</v>
      </c>
      <c r="J499" s="5"/>
      <c r="K499" s="22">
        <f t="shared" si="7"/>
        <v>0</v>
      </c>
    </row>
    <row r="500" spans="1:11" x14ac:dyDescent="0.45">
      <c r="A500" s="2" t="s">
        <v>593</v>
      </c>
      <c r="B500" s="2">
        <v>11</v>
      </c>
      <c r="C500" s="2" t="s">
        <v>29</v>
      </c>
      <c r="D500" s="2" t="s">
        <v>30</v>
      </c>
      <c r="E500" s="2" t="s">
        <v>35</v>
      </c>
      <c r="F500" s="2" t="s">
        <v>14</v>
      </c>
      <c r="G500" s="3" t="s">
        <v>48</v>
      </c>
      <c r="H500" s="4">
        <v>3000</v>
      </c>
      <c r="I500" s="2" t="s">
        <v>38</v>
      </c>
      <c r="J500" s="2"/>
      <c r="K500" s="22">
        <f t="shared" si="7"/>
        <v>0</v>
      </c>
    </row>
    <row r="501" spans="1:11" x14ac:dyDescent="0.45">
      <c r="A501" s="5" t="s">
        <v>594</v>
      </c>
      <c r="B501" s="5">
        <v>1</v>
      </c>
      <c r="C501" s="5" t="s">
        <v>66</v>
      </c>
      <c r="D501" s="5" t="s">
        <v>12</v>
      </c>
      <c r="E501" s="5" t="s">
        <v>19</v>
      </c>
      <c r="F501" s="5" t="s">
        <v>14</v>
      </c>
      <c r="G501" s="6" t="s">
        <v>42</v>
      </c>
      <c r="H501" s="7">
        <v>128600</v>
      </c>
      <c r="I501" s="5" t="s">
        <v>20</v>
      </c>
      <c r="J501" s="5"/>
      <c r="K501" s="22">
        <f t="shared" si="7"/>
        <v>0</v>
      </c>
    </row>
    <row r="502" spans="1:11" x14ac:dyDescent="0.45">
      <c r="A502" s="2" t="s">
        <v>595</v>
      </c>
      <c r="B502" s="2">
        <v>8</v>
      </c>
      <c r="C502" s="2" t="s">
        <v>60</v>
      </c>
      <c r="D502" s="2" t="s">
        <v>41</v>
      </c>
      <c r="E502" s="2" t="s">
        <v>24</v>
      </c>
      <c r="F502" s="2" t="s">
        <v>25</v>
      </c>
      <c r="G502" s="3" t="s">
        <v>100</v>
      </c>
      <c r="H502" s="4">
        <v>47700</v>
      </c>
      <c r="I502" s="2" t="s">
        <v>27</v>
      </c>
      <c r="J502" s="2"/>
      <c r="K502" s="22">
        <f t="shared" si="7"/>
        <v>0</v>
      </c>
    </row>
    <row r="503" spans="1:11" x14ac:dyDescent="0.45">
      <c r="A503" s="5" t="s">
        <v>596</v>
      </c>
      <c r="B503" s="5">
        <v>12</v>
      </c>
      <c r="C503" s="5" t="s">
        <v>34</v>
      </c>
      <c r="D503" s="5" t="s">
        <v>30</v>
      </c>
      <c r="E503" s="5" t="s">
        <v>71</v>
      </c>
      <c r="F503" s="5" t="s">
        <v>14</v>
      </c>
      <c r="G503" s="6" t="s">
        <v>15</v>
      </c>
      <c r="H503" s="7">
        <v>208500</v>
      </c>
      <c r="I503" s="5" t="s">
        <v>72</v>
      </c>
      <c r="J503" s="5"/>
      <c r="K503" s="22">
        <f t="shared" si="7"/>
        <v>0</v>
      </c>
    </row>
    <row r="504" spans="1:11" x14ac:dyDescent="0.45">
      <c r="A504" s="2" t="s">
        <v>597</v>
      </c>
      <c r="B504" s="2">
        <v>1</v>
      </c>
      <c r="C504" s="2" t="s">
        <v>66</v>
      </c>
      <c r="D504" s="2" t="s">
        <v>12</v>
      </c>
      <c r="E504" s="2" t="s">
        <v>24</v>
      </c>
      <c r="F504" s="2" t="s">
        <v>25</v>
      </c>
      <c r="G504" s="3" t="s">
        <v>26</v>
      </c>
      <c r="H504" s="4">
        <v>8400</v>
      </c>
      <c r="I504" s="2" t="s">
        <v>27</v>
      </c>
      <c r="J504" s="2"/>
      <c r="K504" s="22">
        <f t="shared" si="7"/>
        <v>0</v>
      </c>
    </row>
    <row r="505" spans="1:11" x14ac:dyDescent="0.45">
      <c r="A505" s="5" t="s">
        <v>598</v>
      </c>
      <c r="B505" s="5">
        <v>10</v>
      </c>
      <c r="C505" s="5" t="s">
        <v>40</v>
      </c>
      <c r="D505" s="5" t="s">
        <v>30</v>
      </c>
      <c r="E505" s="5" t="s">
        <v>57</v>
      </c>
      <c r="F505" s="5" t="s">
        <v>85</v>
      </c>
      <c r="G505" s="6" t="s">
        <v>129</v>
      </c>
      <c r="H505" s="7">
        <v>34200</v>
      </c>
      <c r="I505" s="5" t="s">
        <v>58</v>
      </c>
      <c r="J505" s="5"/>
      <c r="K505" s="22">
        <f t="shared" si="7"/>
        <v>0</v>
      </c>
    </row>
    <row r="506" spans="1:11" x14ac:dyDescent="0.45">
      <c r="A506" s="2" t="s">
        <v>599</v>
      </c>
      <c r="B506" s="2">
        <v>11</v>
      </c>
      <c r="C506" s="2" t="s">
        <v>29</v>
      </c>
      <c r="D506" s="2" t="s">
        <v>30</v>
      </c>
      <c r="E506" s="2" t="s">
        <v>13</v>
      </c>
      <c r="F506" s="2" t="s">
        <v>14</v>
      </c>
      <c r="G506" s="3" t="s">
        <v>42</v>
      </c>
      <c r="H506" s="4">
        <v>278300</v>
      </c>
      <c r="I506" s="2" t="s">
        <v>16</v>
      </c>
      <c r="J506" s="2"/>
      <c r="K506" s="22">
        <f t="shared" si="7"/>
        <v>0</v>
      </c>
    </row>
    <row r="507" spans="1:11" x14ac:dyDescent="0.45">
      <c r="A507" s="5" t="s">
        <v>600</v>
      </c>
      <c r="B507" s="5">
        <v>5</v>
      </c>
      <c r="C507" s="5" t="s">
        <v>22</v>
      </c>
      <c r="D507" s="5" t="s">
        <v>23</v>
      </c>
      <c r="E507" s="5" t="s">
        <v>71</v>
      </c>
      <c r="F507" s="5" t="s">
        <v>94</v>
      </c>
      <c r="G507" s="6" t="s">
        <v>157</v>
      </c>
      <c r="H507" s="7">
        <v>7500</v>
      </c>
      <c r="I507" s="5" t="s">
        <v>72</v>
      </c>
      <c r="J507" s="5"/>
      <c r="K507" s="22">
        <f t="shared" si="7"/>
        <v>0</v>
      </c>
    </row>
    <row r="508" spans="1:11" x14ac:dyDescent="0.45">
      <c r="A508" s="2" t="s">
        <v>601</v>
      </c>
      <c r="B508" s="2">
        <v>3</v>
      </c>
      <c r="C508" s="2" t="s">
        <v>18</v>
      </c>
      <c r="D508" s="2" t="s">
        <v>12</v>
      </c>
      <c r="E508" s="2" t="s">
        <v>24</v>
      </c>
      <c r="F508" s="2" t="s">
        <v>36</v>
      </c>
      <c r="G508" s="3" t="s">
        <v>111</v>
      </c>
      <c r="H508" s="4">
        <v>1100</v>
      </c>
      <c r="I508" s="2" t="s">
        <v>27</v>
      </c>
      <c r="J508" s="2"/>
      <c r="K508" s="22">
        <f t="shared" si="7"/>
        <v>0</v>
      </c>
    </row>
    <row r="509" spans="1:11" x14ac:dyDescent="0.45">
      <c r="A509" s="5" t="s">
        <v>602</v>
      </c>
      <c r="B509" s="5">
        <v>3</v>
      </c>
      <c r="C509" s="5" t="s">
        <v>18</v>
      </c>
      <c r="D509" s="5" t="s">
        <v>12</v>
      </c>
      <c r="E509" s="5" t="s">
        <v>71</v>
      </c>
      <c r="F509" s="5" t="s">
        <v>88</v>
      </c>
      <c r="G509" s="6" t="s">
        <v>258</v>
      </c>
      <c r="H509" s="7">
        <v>76900</v>
      </c>
      <c r="I509" s="5" t="s">
        <v>72</v>
      </c>
      <c r="J509" s="5"/>
      <c r="K509" s="22">
        <f t="shared" si="7"/>
        <v>0</v>
      </c>
    </row>
    <row r="510" spans="1:11" x14ac:dyDescent="0.45">
      <c r="A510" s="2" t="s">
        <v>603</v>
      </c>
      <c r="B510" s="2">
        <v>12</v>
      </c>
      <c r="C510" s="2" t="s">
        <v>34</v>
      </c>
      <c r="D510" s="2" t="s">
        <v>30</v>
      </c>
      <c r="E510" s="2" t="s">
        <v>35</v>
      </c>
      <c r="F510" s="2" t="s">
        <v>75</v>
      </c>
      <c r="G510" s="3" t="s">
        <v>76</v>
      </c>
      <c r="H510" s="4">
        <v>4600</v>
      </c>
      <c r="I510" s="2" t="s">
        <v>38</v>
      </c>
      <c r="J510" s="2"/>
      <c r="K510" s="22">
        <f t="shared" si="7"/>
        <v>0</v>
      </c>
    </row>
    <row r="511" spans="1:11" x14ac:dyDescent="0.45">
      <c r="A511" s="5" t="s">
        <v>604</v>
      </c>
      <c r="B511" s="5">
        <v>9</v>
      </c>
      <c r="C511" s="5" t="s">
        <v>40</v>
      </c>
      <c r="D511" s="5" t="s">
        <v>41</v>
      </c>
      <c r="E511" s="5" t="s">
        <v>19</v>
      </c>
      <c r="F511" s="5" t="s">
        <v>31</v>
      </c>
      <c r="G511" s="6" t="s">
        <v>79</v>
      </c>
      <c r="H511" s="7">
        <v>8200</v>
      </c>
      <c r="I511" s="5" t="s">
        <v>20</v>
      </c>
      <c r="J511" s="5"/>
      <c r="K511" s="22">
        <f t="shared" si="7"/>
        <v>0</v>
      </c>
    </row>
    <row r="512" spans="1:11" x14ac:dyDescent="0.45">
      <c r="A512" s="2" t="s">
        <v>605</v>
      </c>
      <c r="B512" s="2">
        <v>9</v>
      </c>
      <c r="C512" s="2" t="s">
        <v>40</v>
      </c>
      <c r="D512" s="2" t="s">
        <v>41</v>
      </c>
      <c r="E512" s="2" t="s">
        <v>19</v>
      </c>
      <c r="F512" s="2" t="s">
        <v>53</v>
      </c>
      <c r="G512" s="3" t="s">
        <v>121</v>
      </c>
      <c r="H512" s="4">
        <v>2800</v>
      </c>
      <c r="I512" s="2" t="s">
        <v>20</v>
      </c>
      <c r="J512" s="2"/>
      <c r="K512" s="22">
        <f t="shared" si="7"/>
        <v>0</v>
      </c>
    </row>
    <row r="513" spans="1:11" x14ac:dyDescent="0.45">
      <c r="A513" s="5" t="s">
        <v>606</v>
      </c>
      <c r="B513" s="5">
        <v>8</v>
      </c>
      <c r="C513" s="5" t="s">
        <v>60</v>
      </c>
      <c r="D513" s="5" t="s">
        <v>41</v>
      </c>
      <c r="E513" s="5" t="s">
        <v>19</v>
      </c>
      <c r="F513" s="5" t="s">
        <v>14</v>
      </c>
      <c r="G513" s="6" t="s">
        <v>15</v>
      </c>
      <c r="H513" s="7">
        <v>252100</v>
      </c>
      <c r="I513" s="5" t="s">
        <v>20</v>
      </c>
      <c r="J513" s="5"/>
      <c r="K513" s="22">
        <f t="shared" si="7"/>
        <v>0</v>
      </c>
    </row>
    <row r="514" spans="1:11" x14ac:dyDescent="0.45">
      <c r="A514" s="2" t="s">
        <v>607</v>
      </c>
      <c r="B514" s="2">
        <v>1</v>
      </c>
      <c r="C514" s="2" t="s">
        <v>66</v>
      </c>
      <c r="D514" s="2" t="s">
        <v>12</v>
      </c>
      <c r="E514" s="2" t="s">
        <v>57</v>
      </c>
      <c r="F514" s="2" t="s">
        <v>75</v>
      </c>
      <c r="G514" s="3" t="s">
        <v>179</v>
      </c>
      <c r="H514" s="4">
        <v>10100</v>
      </c>
      <c r="I514" s="2" t="s">
        <v>58</v>
      </c>
      <c r="J514" s="2"/>
      <c r="K514" s="22">
        <f t="shared" si="7"/>
        <v>0</v>
      </c>
    </row>
    <row r="515" spans="1:11" x14ac:dyDescent="0.45">
      <c r="A515" s="5" t="s">
        <v>608</v>
      </c>
      <c r="B515" s="5">
        <v>4</v>
      </c>
      <c r="C515" s="5" t="s">
        <v>47</v>
      </c>
      <c r="D515" s="5" t="s">
        <v>23</v>
      </c>
      <c r="E515" s="5" t="s">
        <v>19</v>
      </c>
      <c r="F515" s="5" t="s">
        <v>53</v>
      </c>
      <c r="G515" s="6" t="s">
        <v>121</v>
      </c>
      <c r="H515" s="7">
        <v>3900</v>
      </c>
      <c r="I515" s="5" t="s">
        <v>20</v>
      </c>
      <c r="J515" s="5"/>
      <c r="K515" s="22">
        <f t="shared" ref="K515:K578" si="8">IF(J515=$N$2,0,IF(J515=$N$3,1,IF(J515=$N$4,2)))</f>
        <v>0</v>
      </c>
    </row>
    <row r="516" spans="1:11" x14ac:dyDescent="0.45">
      <c r="A516" s="2" t="s">
        <v>609</v>
      </c>
      <c r="B516" s="2">
        <v>6</v>
      </c>
      <c r="C516" s="2" t="s">
        <v>78</v>
      </c>
      <c r="D516" s="2" t="s">
        <v>23</v>
      </c>
      <c r="E516" s="2" t="s">
        <v>35</v>
      </c>
      <c r="F516" s="2" t="s">
        <v>14</v>
      </c>
      <c r="G516" s="3" t="s">
        <v>42</v>
      </c>
      <c r="H516" s="4">
        <v>129700</v>
      </c>
      <c r="I516" s="2" t="s">
        <v>38</v>
      </c>
      <c r="J516" s="2"/>
      <c r="K516" s="22">
        <f t="shared" si="8"/>
        <v>0</v>
      </c>
    </row>
    <row r="517" spans="1:11" x14ac:dyDescent="0.45">
      <c r="A517" s="5" t="s">
        <v>610</v>
      </c>
      <c r="B517" s="5">
        <v>1</v>
      </c>
      <c r="C517" s="5" t="s">
        <v>66</v>
      </c>
      <c r="D517" s="5" t="s">
        <v>12</v>
      </c>
      <c r="E517" s="5" t="s">
        <v>24</v>
      </c>
      <c r="F517" s="5" t="s">
        <v>14</v>
      </c>
      <c r="G517" s="6" t="s">
        <v>15</v>
      </c>
      <c r="H517" s="7">
        <v>57200</v>
      </c>
      <c r="I517" s="5" t="s">
        <v>27</v>
      </c>
      <c r="J517" s="5"/>
      <c r="K517" s="22">
        <f t="shared" si="8"/>
        <v>0</v>
      </c>
    </row>
    <row r="518" spans="1:11" x14ac:dyDescent="0.45">
      <c r="A518" s="2" t="s">
        <v>611</v>
      </c>
      <c r="B518" s="2">
        <v>11</v>
      </c>
      <c r="C518" s="2" t="s">
        <v>29</v>
      </c>
      <c r="D518" s="2" t="s">
        <v>30</v>
      </c>
      <c r="E518" s="2" t="s">
        <v>19</v>
      </c>
      <c r="F518" s="2" t="s">
        <v>53</v>
      </c>
      <c r="G518" s="3" t="s">
        <v>54</v>
      </c>
      <c r="H518" s="4">
        <v>2300</v>
      </c>
      <c r="I518" s="2" t="s">
        <v>20</v>
      </c>
      <c r="J518" s="2"/>
      <c r="K518" s="22">
        <f t="shared" si="8"/>
        <v>0</v>
      </c>
    </row>
    <row r="519" spans="1:11" x14ac:dyDescent="0.45">
      <c r="A519" s="5" t="s">
        <v>612</v>
      </c>
      <c r="B519" s="5">
        <v>7</v>
      </c>
      <c r="C519" s="5" t="s">
        <v>56</v>
      </c>
      <c r="D519" s="5" t="s">
        <v>41</v>
      </c>
      <c r="E519" s="5" t="s">
        <v>19</v>
      </c>
      <c r="F519" s="5" t="s">
        <v>31</v>
      </c>
      <c r="G519" s="6" t="s">
        <v>32</v>
      </c>
      <c r="H519" s="7">
        <v>8200</v>
      </c>
      <c r="I519" s="5" t="s">
        <v>20</v>
      </c>
      <c r="J519" s="5"/>
      <c r="K519" s="22">
        <f t="shared" si="8"/>
        <v>0</v>
      </c>
    </row>
    <row r="520" spans="1:11" x14ac:dyDescent="0.45">
      <c r="A520" s="2" t="s">
        <v>613</v>
      </c>
      <c r="B520" s="2">
        <v>1</v>
      </c>
      <c r="C520" s="2" t="s">
        <v>66</v>
      </c>
      <c r="D520" s="2" t="s">
        <v>12</v>
      </c>
      <c r="E520" s="2" t="s">
        <v>71</v>
      </c>
      <c r="F520" s="2" t="s">
        <v>14</v>
      </c>
      <c r="G520" s="3" t="s">
        <v>42</v>
      </c>
      <c r="H520" s="4">
        <v>50200</v>
      </c>
      <c r="I520" s="2" t="s">
        <v>72</v>
      </c>
      <c r="J520" s="2"/>
      <c r="K520" s="22">
        <f t="shared" si="8"/>
        <v>0</v>
      </c>
    </row>
    <row r="521" spans="1:11" x14ac:dyDescent="0.45">
      <c r="A521" s="5" t="s">
        <v>614</v>
      </c>
      <c r="B521" s="5">
        <v>11</v>
      </c>
      <c r="C521" s="5" t="s">
        <v>29</v>
      </c>
      <c r="D521" s="5" t="s">
        <v>30</v>
      </c>
      <c r="E521" s="5" t="s">
        <v>71</v>
      </c>
      <c r="F521" s="5" t="s">
        <v>63</v>
      </c>
      <c r="G521" s="6" t="s">
        <v>69</v>
      </c>
      <c r="H521" s="7">
        <v>15300</v>
      </c>
      <c r="I521" s="5" t="s">
        <v>72</v>
      </c>
      <c r="J521" s="5"/>
      <c r="K521" s="22">
        <f t="shared" si="8"/>
        <v>0</v>
      </c>
    </row>
    <row r="522" spans="1:11" x14ac:dyDescent="0.45">
      <c r="A522" s="2" t="s">
        <v>615</v>
      </c>
      <c r="B522" s="2">
        <v>8</v>
      </c>
      <c r="C522" s="2" t="s">
        <v>60</v>
      </c>
      <c r="D522" s="2" t="s">
        <v>41</v>
      </c>
      <c r="E522" s="2" t="s">
        <v>19</v>
      </c>
      <c r="F522" s="2" t="s">
        <v>53</v>
      </c>
      <c r="G522" s="3" t="s">
        <v>121</v>
      </c>
      <c r="H522" s="4">
        <v>30200</v>
      </c>
      <c r="I522" s="2" t="s">
        <v>20</v>
      </c>
      <c r="J522" s="2"/>
      <c r="K522" s="22">
        <f t="shared" si="8"/>
        <v>0</v>
      </c>
    </row>
    <row r="523" spans="1:11" x14ac:dyDescent="0.45">
      <c r="A523" s="5" t="s">
        <v>616</v>
      </c>
      <c r="B523" s="5">
        <v>2</v>
      </c>
      <c r="C523" s="5" t="s">
        <v>11</v>
      </c>
      <c r="D523" s="5" t="s">
        <v>12</v>
      </c>
      <c r="E523" s="5" t="s">
        <v>71</v>
      </c>
      <c r="F523" s="5" t="s">
        <v>88</v>
      </c>
      <c r="G523" s="6" t="s">
        <v>89</v>
      </c>
      <c r="H523" s="7">
        <v>300</v>
      </c>
      <c r="I523" s="5" t="s">
        <v>72</v>
      </c>
      <c r="J523" s="5"/>
      <c r="K523" s="22">
        <f t="shared" si="8"/>
        <v>0</v>
      </c>
    </row>
    <row r="524" spans="1:11" x14ac:dyDescent="0.45">
      <c r="A524" s="2" t="s">
        <v>617</v>
      </c>
      <c r="B524" s="2">
        <v>7</v>
      </c>
      <c r="C524" s="2" t="s">
        <v>56</v>
      </c>
      <c r="D524" s="2" t="s">
        <v>41</v>
      </c>
      <c r="E524" s="2" t="s">
        <v>24</v>
      </c>
      <c r="F524" s="2" t="s">
        <v>44</v>
      </c>
      <c r="G524" s="3" t="s">
        <v>45</v>
      </c>
      <c r="H524" s="4">
        <v>38700</v>
      </c>
      <c r="I524" s="2" t="s">
        <v>27</v>
      </c>
      <c r="J524" s="2"/>
      <c r="K524" s="22">
        <f t="shared" si="8"/>
        <v>0</v>
      </c>
    </row>
    <row r="525" spans="1:11" x14ac:dyDescent="0.45">
      <c r="A525" s="5" t="s">
        <v>618</v>
      </c>
      <c r="B525" s="5">
        <v>1</v>
      </c>
      <c r="C525" s="5" t="s">
        <v>66</v>
      </c>
      <c r="D525" s="5" t="s">
        <v>12</v>
      </c>
      <c r="E525" s="5" t="s">
        <v>71</v>
      </c>
      <c r="F525" s="5" t="s">
        <v>14</v>
      </c>
      <c r="G525" s="6" t="s">
        <v>15</v>
      </c>
      <c r="H525" s="7">
        <v>106500</v>
      </c>
      <c r="I525" s="5" t="s">
        <v>72</v>
      </c>
      <c r="J525" s="5"/>
      <c r="K525" s="22">
        <f t="shared" si="8"/>
        <v>0</v>
      </c>
    </row>
    <row r="526" spans="1:11" x14ac:dyDescent="0.45">
      <c r="A526" s="2" t="s">
        <v>619</v>
      </c>
      <c r="B526" s="2">
        <v>7</v>
      </c>
      <c r="C526" s="2" t="s">
        <v>56</v>
      </c>
      <c r="D526" s="2" t="s">
        <v>41</v>
      </c>
      <c r="E526" s="2" t="s">
        <v>24</v>
      </c>
      <c r="F526" s="2" t="s">
        <v>14</v>
      </c>
      <c r="G526" s="3" t="s">
        <v>48</v>
      </c>
      <c r="H526" s="4">
        <v>43500</v>
      </c>
      <c r="I526" s="2" t="s">
        <v>27</v>
      </c>
      <c r="J526" s="2"/>
      <c r="K526" s="22">
        <f t="shared" si="8"/>
        <v>0</v>
      </c>
    </row>
    <row r="527" spans="1:11" x14ac:dyDescent="0.45">
      <c r="A527" s="5" t="s">
        <v>620</v>
      </c>
      <c r="B527" s="5">
        <v>8</v>
      </c>
      <c r="C527" s="5" t="s">
        <v>60</v>
      </c>
      <c r="D527" s="5" t="s">
        <v>41</v>
      </c>
      <c r="E527" s="5" t="s">
        <v>13</v>
      </c>
      <c r="F527" s="5" t="s">
        <v>102</v>
      </c>
      <c r="G527" s="6" t="s">
        <v>243</v>
      </c>
      <c r="H527" s="7">
        <v>15200</v>
      </c>
      <c r="I527" s="5" t="s">
        <v>16</v>
      </c>
      <c r="J527" s="5"/>
      <c r="K527" s="22">
        <f t="shared" si="8"/>
        <v>0</v>
      </c>
    </row>
    <row r="528" spans="1:11" x14ac:dyDescent="0.45">
      <c r="A528" s="2" t="s">
        <v>621</v>
      </c>
      <c r="B528" s="2">
        <v>2</v>
      </c>
      <c r="C528" s="2" t="s">
        <v>11</v>
      </c>
      <c r="D528" s="2" t="s">
        <v>12</v>
      </c>
      <c r="E528" s="2" t="s">
        <v>24</v>
      </c>
      <c r="F528" s="2" t="s">
        <v>14</v>
      </c>
      <c r="G528" s="3" t="s">
        <v>15</v>
      </c>
      <c r="H528" s="4">
        <v>51500</v>
      </c>
      <c r="I528" s="2" t="s">
        <v>27</v>
      </c>
      <c r="J528" s="2"/>
      <c r="K528" s="22">
        <f t="shared" si="8"/>
        <v>0</v>
      </c>
    </row>
    <row r="529" spans="1:11" x14ac:dyDescent="0.45">
      <c r="A529" s="5" t="s">
        <v>622</v>
      </c>
      <c r="B529" s="5">
        <v>10</v>
      </c>
      <c r="C529" s="5" t="s">
        <v>40</v>
      </c>
      <c r="D529" s="5" t="s">
        <v>30</v>
      </c>
      <c r="E529" s="5" t="s">
        <v>24</v>
      </c>
      <c r="F529" s="5" t="s">
        <v>25</v>
      </c>
      <c r="G529" s="6" t="s">
        <v>26</v>
      </c>
      <c r="H529" s="7">
        <v>89400</v>
      </c>
      <c r="I529" s="5" t="s">
        <v>27</v>
      </c>
      <c r="J529" s="5" t="s">
        <v>108</v>
      </c>
      <c r="K529" s="22">
        <f t="shared" si="8"/>
        <v>1</v>
      </c>
    </row>
    <row r="530" spans="1:11" x14ac:dyDescent="0.45">
      <c r="A530" s="2" t="s">
        <v>623</v>
      </c>
      <c r="B530" s="2">
        <v>3</v>
      </c>
      <c r="C530" s="2" t="s">
        <v>18</v>
      </c>
      <c r="D530" s="2" t="s">
        <v>12</v>
      </c>
      <c r="E530" s="2" t="s">
        <v>35</v>
      </c>
      <c r="F530" s="2" t="s">
        <v>75</v>
      </c>
      <c r="G530" s="3" t="s">
        <v>76</v>
      </c>
      <c r="H530" s="4">
        <v>2500</v>
      </c>
      <c r="I530" s="2" t="s">
        <v>38</v>
      </c>
      <c r="J530" s="2"/>
      <c r="K530" s="22">
        <f t="shared" si="8"/>
        <v>0</v>
      </c>
    </row>
    <row r="531" spans="1:11" x14ac:dyDescent="0.45">
      <c r="A531" s="5" t="s">
        <v>624</v>
      </c>
      <c r="B531" s="5">
        <v>2</v>
      </c>
      <c r="C531" s="5" t="s">
        <v>11</v>
      </c>
      <c r="D531" s="5" t="s">
        <v>12</v>
      </c>
      <c r="E531" s="5" t="s">
        <v>35</v>
      </c>
      <c r="F531" s="5" t="s">
        <v>14</v>
      </c>
      <c r="G531" s="6" t="s">
        <v>48</v>
      </c>
      <c r="H531" s="7">
        <v>102900</v>
      </c>
      <c r="I531" s="5" t="s">
        <v>38</v>
      </c>
      <c r="J531" s="5"/>
      <c r="K531" s="22">
        <f t="shared" si="8"/>
        <v>0</v>
      </c>
    </row>
    <row r="532" spans="1:11" x14ac:dyDescent="0.45">
      <c r="A532" s="2" t="s">
        <v>625</v>
      </c>
      <c r="B532" s="2">
        <v>10</v>
      </c>
      <c r="C532" s="2" t="s">
        <v>40</v>
      </c>
      <c r="D532" s="2" t="s">
        <v>30</v>
      </c>
      <c r="E532" s="2" t="s">
        <v>13</v>
      </c>
      <c r="F532" s="2" t="s">
        <v>14</v>
      </c>
      <c r="G532" s="3" t="s">
        <v>48</v>
      </c>
      <c r="H532" s="4">
        <v>17200</v>
      </c>
      <c r="I532" s="2" t="s">
        <v>16</v>
      </c>
      <c r="J532" s="2"/>
      <c r="K532" s="22">
        <f t="shared" si="8"/>
        <v>0</v>
      </c>
    </row>
    <row r="533" spans="1:11" x14ac:dyDescent="0.45">
      <c r="A533" s="5" t="s">
        <v>626</v>
      </c>
      <c r="B533" s="5">
        <v>9</v>
      </c>
      <c r="C533" s="5" t="s">
        <v>40</v>
      </c>
      <c r="D533" s="5" t="s">
        <v>41</v>
      </c>
      <c r="E533" s="5" t="s">
        <v>57</v>
      </c>
      <c r="F533" s="5" t="s">
        <v>63</v>
      </c>
      <c r="G533" s="6" t="s">
        <v>97</v>
      </c>
      <c r="H533" s="7">
        <v>1900</v>
      </c>
      <c r="I533" s="5" t="s">
        <v>58</v>
      </c>
      <c r="J533" s="5"/>
      <c r="K533" s="22">
        <f t="shared" si="8"/>
        <v>0</v>
      </c>
    </row>
    <row r="534" spans="1:11" x14ac:dyDescent="0.45">
      <c r="A534" s="2" t="s">
        <v>627</v>
      </c>
      <c r="B534" s="2">
        <v>3</v>
      </c>
      <c r="C534" s="2" t="s">
        <v>18</v>
      </c>
      <c r="D534" s="2" t="s">
        <v>12</v>
      </c>
      <c r="E534" s="2" t="s">
        <v>13</v>
      </c>
      <c r="F534" s="2" t="s">
        <v>63</v>
      </c>
      <c r="G534" s="3" t="s">
        <v>97</v>
      </c>
      <c r="H534" s="4">
        <v>24400</v>
      </c>
      <c r="I534" s="2" t="s">
        <v>16</v>
      </c>
      <c r="J534" s="2"/>
      <c r="K534" s="22">
        <f t="shared" si="8"/>
        <v>0</v>
      </c>
    </row>
    <row r="535" spans="1:11" x14ac:dyDescent="0.45">
      <c r="A535" s="5" t="s">
        <v>628</v>
      </c>
      <c r="B535" s="5">
        <v>3</v>
      </c>
      <c r="C535" s="5" t="s">
        <v>18</v>
      </c>
      <c r="D535" s="5" t="s">
        <v>12</v>
      </c>
      <c r="E535" s="5" t="s">
        <v>57</v>
      </c>
      <c r="F535" s="5" t="s">
        <v>85</v>
      </c>
      <c r="G535" s="6" t="s">
        <v>159</v>
      </c>
      <c r="H535" s="7">
        <v>35800</v>
      </c>
      <c r="I535" s="5" t="s">
        <v>58</v>
      </c>
      <c r="J535" s="5"/>
      <c r="K535" s="22">
        <f t="shared" si="8"/>
        <v>0</v>
      </c>
    </row>
    <row r="536" spans="1:11" x14ac:dyDescent="0.45">
      <c r="A536" s="2" t="s">
        <v>629</v>
      </c>
      <c r="B536" s="2">
        <v>3</v>
      </c>
      <c r="C536" s="2" t="s">
        <v>18</v>
      </c>
      <c r="D536" s="2" t="s">
        <v>12</v>
      </c>
      <c r="E536" s="2" t="s">
        <v>35</v>
      </c>
      <c r="F536" s="2" t="s">
        <v>36</v>
      </c>
      <c r="G536" s="3" t="s">
        <v>126</v>
      </c>
      <c r="H536" s="4">
        <v>6100</v>
      </c>
      <c r="I536" s="2" t="s">
        <v>38</v>
      </c>
      <c r="J536" s="2"/>
      <c r="K536" s="22">
        <f t="shared" si="8"/>
        <v>0</v>
      </c>
    </row>
    <row r="537" spans="1:11" x14ac:dyDescent="0.45">
      <c r="A537" s="5" t="s">
        <v>630</v>
      </c>
      <c r="B537" s="5">
        <v>12</v>
      </c>
      <c r="C537" s="5" t="s">
        <v>34</v>
      </c>
      <c r="D537" s="5" t="s">
        <v>30</v>
      </c>
      <c r="E537" s="5" t="s">
        <v>35</v>
      </c>
      <c r="F537" s="5" t="s">
        <v>75</v>
      </c>
      <c r="G537" s="6" t="s">
        <v>179</v>
      </c>
      <c r="H537" s="7">
        <v>3900</v>
      </c>
      <c r="I537" s="5" t="s">
        <v>38</v>
      </c>
      <c r="J537" s="5"/>
      <c r="K537" s="22">
        <f t="shared" si="8"/>
        <v>0</v>
      </c>
    </row>
    <row r="538" spans="1:11" x14ac:dyDescent="0.45">
      <c r="A538" s="2" t="s">
        <v>631</v>
      </c>
      <c r="B538" s="2">
        <v>8</v>
      </c>
      <c r="C538" s="2" t="s">
        <v>60</v>
      </c>
      <c r="D538" s="2" t="s">
        <v>41</v>
      </c>
      <c r="E538" s="2" t="s">
        <v>71</v>
      </c>
      <c r="F538" s="2" t="s">
        <v>14</v>
      </c>
      <c r="G538" s="3" t="s">
        <v>48</v>
      </c>
      <c r="H538" s="4">
        <v>158400</v>
      </c>
      <c r="I538" s="2" t="s">
        <v>72</v>
      </c>
      <c r="J538" s="2"/>
      <c r="K538" s="22">
        <f t="shared" si="8"/>
        <v>0</v>
      </c>
    </row>
    <row r="539" spans="1:11" x14ac:dyDescent="0.45">
      <c r="A539" s="5" t="s">
        <v>632</v>
      </c>
      <c r="B539" s="5">
        <v>2</v>
      </c>
      <c r="C539" s="5" t="s">
        <v>11</v>
      </c>
      <c r="D539" s="5" t="s">
        <v>12</v>
      </c>
      <c r="E539" s="5" t="s">
        <v>19</v>
      </c>
      <c r="F539" s="5" t="s">
        <v>63</v>
      </c>
      <c r="G539" s="6" t="s">
        <v>69</v>
      </c>
      <c r="H539" s="7">
        <v>200</v>
      </c>
      <c r="I539" s="5" t="s">
        <v>20</v>
      </c>
      <c r="J539" s="5"/>
      <c r="K539" s="22">
        <f t="shared" si="8"/>
        <v>0</v>
      </c>
    </row>
    <row r="540" spans="1:11" x14ac:dyDescent="0.45">
      <c r="A540" s="2" t="s">
        <v>633</v>
      </c>
      <c r="B540" s="2">
        <v>2</v>
      </c>
      <c r="C540" s="2" t="s">
        <v>11</v>
      </c>
      <c r="D540" s="2" t="s">
        <v>12</v>
      </c>
      <c r="E540" s="2" t="s">
        <v>57</v>
      </c>
      <c r="F540" s="2" t="s">
        <v>85</v>
      </c>
      <c r="G540" s="3" t="s">
        <v>129</v>
      </c>
      <c r="H540" s="4">
        <v>42000</v>
      </c>
      <c r="I540" s="2" t="s">
        <v>58</v>
      </c>
      <c r="J540" s="2"/>
      <c r="K540" s="22">
        <f t="shared" si="8"/>
        <v>0</v>
      </c>
    </row>
    <row r="541" spans="1:11" x14ac:dyDescent="0.45">
      <c r="A541" s="5" t="s">
        <v>634</v>
      </c>
      <c r="B541" s="5">
        <v>6</v>
      </c>
      <c r="C541" s="5" t="s">
        <v>78</v>
      </c>
      <c r="D541" s="5" t="s">
        <v>23</v>
      </c>
      <c r="E541" s="5" t="s">
        <v>57</v>
      </c>
      <c r="F541" s="5" t="s">
        <v>63</v>
      </c>
      <c r="G541" s="6" t="s">
        <v>97</v>
      </c>
      <c r="H541" s="7">
        <v>1200</v>
      </c>
      <c r="I541" s="5" t="s">
        <v>58</v>
      </c>
      <c r="J541" s="5"/>
      <c r="K541" s="22">
        <f t="shared" si="8"/>
        <v>0</v>
      </c>
    </row>
    <row r="542" spans="1:11" x14ac:dyDescent="0.45">
      <c r="A542" s="2" t="s">
        <v>635</v>
      </c>
      <c r="B542" s="2">
        <v>8</v>
      </c>
      <c r="C542" s="2" t="s">
        <v>60</v>
      </c>
      <c r="D542" s="2" t="s">
        <v>41</v>
      </c>
      <c r="E542" s="2" t="s">
        <v>71</v>
      </c>
      <c r="F542" s="2" t="s">
        <v>63</v>
      </c>
      <c r="G542" s="3" t="s">
        <v>64</v>
      </c>
      <c r="H542" s="4">
        <v>21600</v>
      </c>
      <c r="I542" s="2" t="s">
        <v>72</v>
      </c>
      <c r="J542" s="2" t="s">
        <v>108</v>
      </c>
      <c r="K542" s="22">
        <f t="shared" si="8"/>
        <v>1</v>
      </c>
    </row>
    <row r="543" spans="1:11" x14ac:dyDescent="0.45">
      <c r="A543" s="5" t="s">
        <v>636</v>
      </c>
      <c r="B543" s="5">
        <v>10</v>
      </c>
      <c r="C543" s="5" t="s">
        <v>40</v>
      </c>
      <c r="D543" s="5" t="s">
        <v>30</v>
      </c>
      <c r="E543" s="5" t="s">
        <v>35</v>
      </c>
      <c r="F543" s="5" t="s">
        <v>75</v>
      </c>
      <c r="G543" s="6" t="s">
        <v>179</v>
      </c>
      <c r="H543" s="7">
        <v>2300</v>
      </c>
      <c r="I543" s="5" t="s">
        <v>38</v>
      </c>
      <c r="J543" s="5"/>
      <c r="K543" s="22">
        <f t="shared" si="8"/>
        <v>0</v>
      </c>
    </row>
    <row r="544" spans="1:11" x14ac:dyDescent="0.45">
      <c r="A544" s="2" t="s">
        <v>637</v>
      </c>
      <c r="B544" s="2">
        <v>2</v>
      </c>
      <c r="C544" s="2" t="s">
        <v>11</v>
      </c>
      <c r="D544" s="2" t="s">
        <v>12</v>
      </c>
      <c r="E544" s="2" t="s">
        <v>13</v>
      </c>
      <c r="F544" s="2" t="s">
        <v>14</v>
      </c>
      <c r="G544" s="3" t="s">
        <v>48</v>
      </c>
      <c r="H544" s="4">
        <v>311300</v>
      </c>
      <c r="I544" s="2" t="s">
        <v>16</v>
      </c>
      <c r="J544" s="2"/>
      <c r="K544" s="22">
        <f t="shared" si="8"/>
        <v>0</v>
      </c>
    </row>
    <row r="545" spans="1:11" x14ac:dyDescent="0.45">
      <c r="A545" s="5" t="s">
        <v>638</v>
      </c>
      <c r="B545" s="5">
        <v>4</v>
      </c>
      <c r="C545" s="5" t="s">
        <v>47</v>
      </c>
      <c r="D545" s="5" t="s">
        <v>23</v>
      </c>
      <c r="E545" s="5" t="s">
        <v>24</v>
      </c>
      <c r="F545" s="5" t="s">
        <v>44</v>
      </c>
      <c r="G545" s="6" t="s">
        <v>123</v>
      </c>
      <c r="H545" s="7">
        <v>65500</v>
      </c>
      <c r="I545" s="5" t="s">
        <v>27</v>
      </c>
      <c r="J545" s="5"/>
      <c r="K545" s="22">
        <f t="shared" si="8"/>
        <v>0</v>
      </c>
    </row>
    <row r="546" spans="1:11" x14ac:dyDescent="0.45">
      <c r="A546" s="2" t="s">
        <v>639</v>
      </c>
      <c r="B546" s="2">
        <v>4</v>
      </c>
      <c r="C546" s="2" t="s">
        <v>47</v>
      </c>
      <c r="D546" s="2" t="s">
        <v>23</v>
      </c>
      <c r="E546" s="2" t="s">
        <v>57</v>
      </c>
      <c r="F546" s="2" t="s">
        <v>14</v>
      </c>
      <c r="G546" s="3" t="s">
        <v>42</v>
      </c>
      <c r="H546" s="4">
        <v>107600</v>
      </c>
      <c r="I546" s="2" t="s">
        <v>58</v>
      </c>
      <c r="J546" s="2"/>
      <c r="K546" s="22">
        <f t="shared" si="8"/>
        <v>0</v>
      </c>
    </row>
    <row r="547" spans="1:11" x14ac:dyDescent="0.45">
      <c r="A547" s="5" t="s">
        <v>640</v>
      </c>
      <c r="B547" s="5">
        <v>10</v>
      </c>
      <c r="C547" s="5" t="s">
        <v>40</v>
      </c>
      <c r="D547" s="5" t="s">
        <v>30</v>
      </c>
      <c r="E547" s="5" t="s">
        <v>71</v>
      </c>
      <c r="F547" s="5" t="s">
        <v>63</v>
      </c>
      <c r="G547" s="6" t="s">
        <v>69</v>
      </c>
      <c r="H547" s="7">
        <v>7600</v>
      </c>
      <c r="I547" s="5" t="s">
        <v>72</v>
      </c>
      <c r="J547" s="5"/>
      <c r="K547" s="22">
        <f t="shared" si="8"/>
        <v>0</v>
      </c>
    </row>
    <row r="548" spans="1:11" x14ac:dyDescent="0.45">
      <c r="A548" s="2" t="s">
        <v>641</v>
      </c>
      <c r="B548" s="2">
        <v>6</v>
      </c>
      <c r="C548" s="2" t="s">
        <v>78</v>
      </c>
      <c r="D548" s="2" t="s">
        <v>23</v>
      </c>
      <c r="E548" s="2" t="s">
        <v>71</v>
      </c>
      <c r="F548" s="2" t="s">
        <v>63</v>
      </c>
      <c r="G548" s="3" t="s">
        <v>69</v>
      </c>
      <c r="H548" s="4">
        <v>11800</v>
      </c>
      <c r="I548" s="2" t="s">
        <v>72</v>
      </c>
      <c r="J548" s="2"/>
      <c r="K548" s="22">
        <f t="shared" si="8"/>
        <v>0</v>
      </c>
    </row>
    <row r="549" spans="1:11" x14ac:dyDescent="0.45">
      <c r="A549" s="5" t="s">
        <v>642</v>
      </c>
      <c r="B549" s="5">
        <v>12</v>
      </c>
      <c r="C549" s="5" t="s">
        <v>34</v>
      </c>
      <c r="D549" s="5" t="s">
        <v>30</v>
      </c>
      <c r="E549" s="5" t="s">
        <v>13</v>
      </c>
      <c r="F549" s="5" t="s">
        <v>14</v>
      </c>
      <c r="G549" s="6" t="s">
        <v>42</v>
      </c>
      <c r="H549" s="7">
        <v>302300</v>
      </c>
      <c r="I549" s="5" t="s">
        <v>16</v>
      </c>
      <c r="J549" s="5"/>
      <c r="K549" s="22">
        <f t="shared" si="8"/>
        <v>0</v>
      </c>
    </row>
    <row r="550" spans="1:11" x14ac:dyDescent="0.45">
      <c r="A550" s="2" t="s">
        <v>643</v>
      </c>
      <c r="B550" s="2">
        <v>9</v>
      </c>
      <c r="C550" s="2" t="s">
        <v>40</v>
      </c>
      <c r="D550" s="2" t="s">
        <v>41</v>
      </c>
      <c r="E550" s="2" t="s">
        <v>24</v>
      </c>
      <c r="F550" s="2" t="s">
        <v>25</v>
      </c>
      <c r="G550" s="3" t="s">
        <v>212</v>
      </c>
      <c r="H550" s="4">
        <v>10100</v>
      </c>
      <c r="I550" s="2" t="s">
        <v>27</v>
      </c>
      <c r="J550" s="2"/>
      <c r="K550" s="22">
        <f t="shared" si="8"/>
        <v>0</v>
      </c>
    </row>
    <row r="551" spans="1:11" x14ac:dyDescent="0.45">
      <c r="A551" s="5" t="s">
        <v>644</v>
      </c>
      <c r="B551" s="5">
        <v>3</v>
      </c>
      <c r="C551" s="5" t="s">
        <v>18</v>
      </c>
      <c r="D551" s="5" t="s">
        <v>12</v>
      </c>
      <c r="E551" s="5" t="s">
        <v>57</v>
      </c>
      <c r="F551" s="5" t="s">
        <v>63</v>
      </c>
      <c r="G551" s="6" t="s">
        <v>97</v>
      </c>
      <c r="H551" s="7">
        <v>7300</v>
      </c>
      <c r="I551" s="5" t="s">
        <v>58</v>
      </c>
      <c r="J551" s="5"/>
      <c r="K551" s="22">
        <f t="shared" si="8"/>
        <v>0</v>
      </c>
    </row>
    <row r="552" spans="1:11" x14ac:dyDescent="0.45">
      <c r="A552" s="2" t="s">
        <v>645</v>
      </c>
      <c r="B552" s="2">
        <v>10</v>
      </c>
      <c r="C552" s="2" t="s">
        <v>40</v>
      </c>
      <c r="D552" s="2" t="s">
        <v>30</v>
      </c>
      <c r="E552" s="2" t="s">
        <v>35</v>
      </c>
      <c r="F552" s="2" t="s">
        <v>75</v>
      </c>
      <c r="G552" s="3" t="s">
        <v>83</v>
      </c>
      <c r="H552" s="4">
        <v>8000</v>
      </c>
      <c r="I552" s="2" t="s">
        <v>38</v>
      </c>
      <c r="J552" s="2"/>
      <c r="K552" s="22">
        <f t="shared" si="8"/>
        <v>0</v>
      </c>
    </row>
    <row r="553" spans="1:11" x14ac:dyDescent="0.45">
      <c r="A553" s="5" t="s">
        <v>646</v>
      </c>
      <c r="B553" s="5">
        <v>2</v>
      </c>
      <c r="C553" s="5" t="s">
        <v>11</v>
      </c>
      <c r="D553" s="5" t="s">
        <v>12</v>
      </c>
      <c r="E553" s="5" t="s">
        <v>71</v>
      </c>
      <c r="F553" s="5" t="s">
        <v>88</v>
      </c>
      <c r="G553" s="6" t="s">
        <v>258</v>
      </c>
      <c r="H553" s="7">
        <v>22100</v>
      </c>
      <c r="I553" s="5" t="s">
        <v>72</v>
      </c>
      <c r="J553" s="5"/>
      <c r="K553" s="22">
        <f t="shared" si="8"/>
        <v>0</v>
      </c>
    </row>
    <row r="554" spans="1:11" x14ac:dyDescent="0.45">
      <c r="A554" s="2" t="s">
        <v>647</v>
      </c>
      <c r="B554" s="2">
        <v>4</v>
      </c>
      <c r="C554" s="2" t="s">
        <v>47</v>
      </c>
      <c r="D554" s="2" t="s">
        <v>23</v>
      </c>
      <c r="E554" s="2" t="s">
        <v>57</v>
      </c>
      <c r="F554" s="2" t="s">
        <v>14</v>
      </c>
      <c r="G554" s="3" t="s">
        <v>15</v>
      </c>
      <c r="H554" s="4">
        <v>86800</v>
      </c>
      <c r="I554" s="2" t="s">
        <v>58</v>
      </c>
      <c r="J554" s="2"/>
      <c r="K554" s="22">
        <f t="shared" si="8"/>
        <v>0</v>
      </c>
    </row>
    <row r="555" spans="1:11" x14ac:dyDescent="0.45">
      <c r="A555" s="5" t="s">
        <v>648</v>
      </c>
      <c r="B555" s="5">
        <v>4</v>
      </c>
      <c r="C555" s="5" t="s">
        <v>47</v>
      </c>
      <c r="D555" s="5" t="s">
        <v>23</v>
      </c>
      <c r="E555" s="5" t="s">
        <v>57</v>
      </c>
      <c r="F555" s="5" t="s">
        <v>75</v>
      </c>
      <c r="G555" s="6" t="s">
        <v>83</v>
      </c>
      <c r="H555" s="7">
        <v>6700</v>
      </c>
      <c r="I555" s="5" t="s">
        <v>58</v>
      </c>
      <c r="J555" s="5"/>
      <c r="K555" s="22">
        <f t="shared" si="8"/>
        <v>0</v>
      </c>
    </row>
    <row r="556" spans="1:11" x14ac:dyDescent="0.45">
      <c r="A556" s="2" t="s">
        <v>649</v>
      </c>
      <c r="B556" s="2">
        <v>6</v>
      </c>
      <c r="C556" s="2" t="s">
        <v>78</v>
      </c>
      <c r="D556" s="2" t="s">
        <v>23</v>
      </c>
      <c r="E556" s="2" t="s">
        <v>13</v>
      </c>
      <c r="F556" s="2" t="s">
        <v>14</v>
      </c>
      <c r="G556" s="3" t="s">
        <v>48</v>
      </c>
      <c r="H556" s="4">
        <v>32200</v>
      </c>
      <c r="I556" s="2" t="s">
        <v>16</v>
      </c>
      <c r="J556" s="2"/>
      <c r="K556" s="22">
        <f t="shared" si="8"/>
        <v>0</v>
      </c>
    </row>
    <row r="557" spans="1:11" x14ac:dyDescent="0.45">
      <c r="A557" s="5" t="s">
        <v>650</v>
      </c>
      <c r="B557" s="5">
        <v>11</v>
      </c>
      <c r="C557" s="5" t="s">
        <v>29</v>
      </c>
      <c r="D557" s="5" t="s">
        <v>30</v>
      </c>
      <c r="E557" s="5" t="s">
        <v>24</v>
      </c>
      <c r="F557" s="5" t="s">
        <v>25</v>
      </c>
      <c r="G557" s="6" t="s">
        <v>100</v>
      </c>
      <c r="H557" s="7">
        <v>1900</v>
      </c>
      <c r="I557" s="5" t="s">
        <v>27</v>
      </c>
      <c r="J557" s="5" t="s">
        <v>108</v>
      </c>
      <c r="K557" s="22">
        <f t="shared" si="8"/>
        <v>1</v>
      </c>
    </row>
    <row r="558" spans="1:11" x14ac:dyDescent="0.45">
      <c r="A558" s="2" t="s">
        <v>651</v>
      </c>
      <c r="B558" s="2">
        <v>2</v>
      </c>
      <c r="C558" s="2" t="s">
        <v>11</v>
      </c>
      <c r="D558" s="2" t="s">
        <v>12</v>
      </c>
      <c r="E558" s="2" t="s">
        <v>35</v>
      </c>
      <c r="F558" s="2" t="s">
        <v>14</v>
      </c>
      <c r="G558" s="3" t="s">
        <v>15</v>
      </c>
      <c r="H558" s="4">
        <v>101800</v>
      </c>
      <c r="I558" s="2" t="s">
        <v>38</v>
      </c>
      <c r="J558" s="2"/>
      <c r="K558" s="22">
        <f t="shared" si="8"/>
        <v>0</v>
      </c>
    </row>
    <row r="559" spans="1:11" x14ac:dyDescent="0.45">
      <c r="A559" s="5" t="s">
        <v>652</v>
      </c>
      <c r="B559" s="5">
        <v>5</v>
      </c>
      <c r="C559" s="5" t="s">
        <v>22</v>
      </c>
      <c r="D559" s="5" t="s">
        <v>23</v>
      </c>
      <c r="E559" s="5" t="s">
        <v>24</v>
      </c>
      <c r="F559" s="5" t="s">
        <v>36</v>
      </c>
      <c r="G559" s="6" t="s">
        <v>126</v>
      </c>
      <c r="H559" s="7">
        <v>8400</v>
      </c>
      <c r="I559" s="5" t="s">
        <v>27</v>
      </c>
      <c r="J559" s="5"/>
      <c r="K559" s="22">
        <f t="shared" si="8"/>
        <v>0</v>
      </c>
    </row>
    <row r="560" spans="1:11" x14ac:dyDescent="0.45">
      <c r="A560" s="2" t="s">
        <v>653</v>
      </c>
      <c r="B560" s="2">
        <v>8</v>
      </c>
      <c r="C560" s="2" t="s">
        <v>60</v>
      </c>
      <c r="D560" s="2" t="s">
        <v>41</v>
      </c>
      <c r="E560" s="2" t="s">
        <v>57</v>
      </c>
      <c r="F560" s="2" t="s">
        <v>63</v>
      </c>
      <c r="G560" s="3" t="s">
        <v>97</v>
      </c>
      <c r="H560" s="4">
        <v>2800</v>
      </c>
      <c r="I560" s="2" t="s">
        <v>58</v>
      </c>
      <c r="J560" s="2"/>
      <c r="K560" s="22">
        <f t="shared" si="8"/>
        <v>0</v>
      </c>
    </row>
    <row r="561" spans="1:11" x14ac:dyDescent="0.45">
      <c r="A561" s="5" t="s">
        <v>654</v>
      </c>
      <c r="B561" s="5">
        <v>9</v>
      </c>
      <c r="C561" s="5" t="s">
        <v>40</v>
      </c>
      <c r="D561" s="5" t="s">
        <v>41</v>
      </c>
      <c r="E561" s="5" t="s">
        <v>13</v>
      </c>
      <c r="F561" s="5" t="s">
        <v>14</v>
      </c>
      <c r="G561" s="6" t="s">
        <v>42</v>
      </c>
      <c r="H561" s="7">
        <v>122000</v>
      </c>
      <c r="I561" s="5" t="s">
        <v>16</v>
      </c>
      <c r="J561" s="5"/>
      <c r="K561" s="22">
        <f t="shared" si="8"/>
        <v>0</v>
      </c>
    </row>
    <row r="562" spans="1:11" x14ac:dyDescent="0.45">
      <c r="A562" s="2" t="s">
        <v>655</v>
      </c>
      <c r="B562" s="2">
        <v>12</v>
      </c>
      <c r="C562" s="2" t="s">
        <v>34</v>
      </c>
      <c r="D562" s="2" t="s">
        <v>30</v>
      </c>
      <c r="E562" s="2" t="s">
        <v>71</v>
      </c>
      <c r="F562" s="2" t="s">
        <v>88</v>
      </c>
      <c r="G562" s="3" t="s">
        <v>89</v>
      </c>
      <c r="H562" s="4">
        <v>121300</v>
      </c>
      <c r="I562" s="2" t="s">
        <v>72</v>
      </c>
      <c r="J562" s="2"/>
      <c r="K562" s="22">
        <f t="shared" si="8"/>
        <v>0</v>
      </c>
    </row>
    <row r="563" spans="1:11" x14ac:dyDescent="0.45">
      <c r="A563" s="5" t="s">
        <v>656</v>
      </c>
      <c r="B563" s="5">
        <v>5</v>
      </c>
      <c r="C563" s="5" t="s">
        <v>22</v>
      </c>
      <c r="D563" s="5" t="s">
        <v>23</v>
      </c>
      <c r="E563" s="5" t="s">
        <v>13</v>
      </c>
      <c r="F563" s="5" t="s">
        <v>63</v>
      </c>
      <c r="G563" s="6" t="s">
        <v>69</v>
      </c>
      <c r="H563" s="7">
        <v>1800</v>
      </c>
      <c r="I563" s="5" t="s">
        <v>16</v>
      </c>
      <c r="J563" s="5"/>
      <c r="K563" s="22">
        <f t="shared" si="8"/>
        <v>0</v>
      </c>
    </row>
    <row r="564" spans="1:11" x14ac:dyDescent="0.45">
      <c r="A564" s="2" t="s">
        <v>657</v>
      </c>
      <c r="B564" s="2">
        <v>7</v>
      </c>
      <c r="C564" s="2" t="s">
        <v>56</v>
      </c>
      <c r="D564" s="2" t="s">
        <v>41</v>
      </c>
      <c r="E564" s="2" t="s">
        <v>19</v>
      </c>
      <c r="F564" s="2" t="s">
        <v>63</v>
      </c>
      <c r="G564" s="3" t="s">
        <v>97</v>
      </c>
      <c r="H564" s="4">
        <v>8100</v>
      </c>
      <c r="I564" s="2" t="s">
        <v>20</v>
      </c>
      <c r="J564" s="2"/>
      <c r="K564" s="22">
        <f t="shared" si="8"/>
        <v>0</v>
      </c>
    </row>
    <row r="565" spans="1:11" x14ac:dyDescent="0.45">
      <c r="A565" s="5" t="s">
        <v>658</v>
      </c>
      <c r="B565" s="5">
        <v>12</v>
      </c>
      <c r="C565" s="5" t="s">
        <v>34</v>
      </c>
      <c r="D565" s="5" t="s">
        <v>30</v>
      </c>
      <c r="E565" s="5" t="s">
        <v>13</v>
      </c>
      <c r="F565" s="5" t="s">
        <v>102</v>
      </c>
      <c r="G565" s="6" t="s">
        <v>103</v>
      </c>
      <c r="H565" s="7">
        <v>58300</v>
      </c>
      <c r="I565" s="5" t="s">
        <v>16</v>
      </c>
      <c r="J565" s="5"/>
      <c r="K565" s="22">
        <f t="shared" si="8"/>
        <v>0</v>
      </c>
    </row>
    <row r="566" spans="1:11" x14ac:dyDescent="0.45">
      <c r="A566" s="2" t="s">
        <v>659</v>
      </c>
      <c r="B566" s="2">
        <v>11</v>
      </c>
      <c r="C566" s="2" t="s">
        <v>29</v>
      </c>
      <c r="D566" s="2" t="s">
        <v>30</v>
      </c>
      <c r="E566" s="2" t="s">
        <v>13</v>
      </c>
      <c r="F566" s="2" t="s">
        <v>14</v>
      </c>
      <c r="G566" s="3" t="s">
        <v>42</v>
      </c>
      <c r="H566" s="4">
        <v>45100</v>
      </c>
      <c r="I566" s="2" t="s">
        <v>16</v>
      </c>
      <c r="J566" s="2"/>
      <c r="K566" s="22">
        <f t="shared" si="8"/>
        <v>0</v>
      </c>
    </row>
    <row r="567" spans="1:11" x14ac:dyDescent="0.45">
      <c r="A567" s="5" t="s">
        <v>660</v>
      </c>
      <c r="B567" s="5">
        <v>10</v>
      </c>
      <c r="C567" s="5" t="s">
        <v>40</v>
      </c>
      <c r="D567" s="5" t="s">
        <v>30</v>
      </c>
      <c r="E567" s="5" t="s">
        <v>24</v>
      </c>
      <c r="F567" s="5" t="s">
        <v>36</v>
      </c>
      <c r="G567" s="6" t="s">
        <v>126</v>
      </c>
      <c r="H567" s="7">
        <v>14400</v>
      </c>
      <c r="I567" s="5" t="s">
        <v>27</v>
      </c>
      <c r="J567" s="5"/>
      <c r="K567" s="22">
        <f t="shared" si="8"/>
        <v>0</v>
      </c>
    </row>
    <row r="568" spans="1:11" x14ac:dyDescent="0.45">
      <c r="A568" s="2" t="s">
        <v>661</v>
      </c>
      <c r="B568" s="2">
        <v>6</v>
      </c>
      <c r="C568" s="2" t="s">
        <v>78</v>
      </c>
      <c r="D568" s="2" t="s">
        <v>23</v>
      </c>
      <c r="E568" s="2" t="s">
        <v>57</v>
      </c>
      <c r="F568" s="2" t="s">
        <v>85</v>
      </c>
      <c r="G568" s="3" t="s">
        <v>129</v>
      </c>
      <c r="H568" s="4">
        <v>18300</v>
      </c>
      <c r="I568" s="2" t="s">
        <v>58</v>
      </c>
      <c r="J568" s="2" t="s">
        <v>108</v>
      </c>
      <c r="K568" s="22">
        <f t="shared" si="8"/>
        <v>1</v>
      </c>
    </row>
    <row r="569" spans="1:11" x14ac:dyDescent="0.45">
      <c r="A569" s="5" t="s">
        <v>662</v>
      </c>
      <c r="B569" s="5">
        <v>10</v>
      </c>
      <c r="C569" s="5" t="s">
        <v>40</v>
      </c>
      <c r="D569" s="5" t="s">
        <v>30</v>
      </c>
      <c r="E569" s="5" t="s">
        <v>57</v>
      </c>
      <c r="F569" s="5" t="s">
        <v>85</v>
      </c>
      <c r="G569" s="6" t="s">
        <v>159</v>
      </c>
      <c r="H569" s="7">
        <v>20000</v>
      </c>
      <c r="I569" s="5" t="s">
        <v>58</v>
      </c>
      <c r="J569" s="5"/>
      <c r="K569" s="22">
        <f t="shared" si="8"/>
        <v>0</v>
      </c>
    </row>
    <row r="570" spans="1:11" x14ac:dyDescent="0.45">
      <c r="A570" s="2" t="s">
        <v>663</v>
      </c>
      <c r="B570" s="2">
        <v>1</v>
      </c>
      <c r="C570" s="2" t="s">
        <v>66</v>
      </c>
      <c r="D570" s="2" t="s">
        <v>12</v>
      </c>
      <c r="E570" s="2" t="s">
        <v>13</v>
      </c>
      <c r="F570" s="2" t="s">
        <v>102</v>
      </c>
      <c r="G570" s="3" t="s">
        <v>243</v>
      </c>
      <c r="H570" s="4">
        <v>22800</v>
      </c>
      <c r="I570" s="2" t="s">
        <v>16</v>
      </c>
      <c r="J570" s="2"/>
      <c r="K570" s="22">
        <f t="shared" si="8"/>
        <v>0</v>
      </c>
    </row>
    <row r="571" spans="1:11" x14ac:dyDescent="0.45">
      <c r="A571" s="5" t="s">
        <v>664</v>
      </c>
      <c r="B571" s="5">
        <v>5</v>
      </c>
      <c r="C571" s="5" t="s">
        <v>22</v>
      </c>
      <c r="D571" s="5" t="s">
        <v>23</v>
      </c>
      <c r="E571" s="5" t="s">
        <v>13</v>
      </c>
      <c r="F571" s="5" t="s">
        <v>102</v>
      </c>
      <c r="G571" s="6" t="s">
        <v>243</v>
      </c>
      <c r="H571" s="7">
        <v>47900</v>
      </c>
      <c r="I571" s="5" t="s">
        <v>16</v>
      </c>
      <c r="J571" s="5" t="s">
        <v>108</v>
      </c>
      <c r="K571" s="22">
        <f t="shared" si="8"/>
        <v>1</v>
      </c>
    </row>
    <row r="572" spans="1:11" x14ac:dyDescent="0.45">
      <c r="A572" s="2" t="s">
        <v>665</v>
      </c>
      <c r="B572" s="2">
        <v>5</v>
      </c>
      <c r="C572" s="2" t="s">
        <v>22</v>
      </c>
      <c r="D572" s="2" t="s">
        <v>23</v>
      </c>
      <c r="E572" s="2" t="s">
        <v>19</v>
      </c>
      <c r="F572" s="2" t="s">
        <v>63</v>
      </c>
      <c r="G572" s="3" t="s">
        <v>69</v>
      </c>
      <c r="H572" s="4">
        <v>8300</v>
      </c>
      <c r="I572" s="2" t="s">
        <v>20</v>
      </c>
      <c r="J572" s="2"/>
      <c r="K572" s="22">
        <f t="shared" si="8"/>
        <v>0</v>
      </c>
    </row>
    <row r="573" spans="1:11" x14ac:dyDescent="0.45">
      <c r="A573" s="5" t="s">
        <v>666</v>
      </c>
      <c r="B573" s="5">
        <v>4</v>
      </c>
      <c r="C573" s="5" t="s">
        <v>47</v>
      </c>
      <c r="D573" s="5" t="s">
        <v>23</v>
      </c>
      <c r="E573" s="5" t="s">
        <v>35</v>
      </c>
      <c r="F573" s="5" t="s">
        <v>105</v>
      </c>
      <c r="G573" s="6" t="s">
        <v>106</v>
      </c>
      <c r="H573" s="7">
        <v>26900</v>
      </c>
      <c r="I573" s="5" t="s">
        <v>38</v>
      </c>
      <c r="J573" s="5"/>
      <c r="K573" s="22">
        <f t="shared" si="8"/>
        <v>0</v>
      </c>
    </row>
    <row r="574" spans="1:11" x14ac:dyDescent="0.45">
      <c r="A574" s="2" t="s">
        <v>667</v>
      </c>
      <c r="B574" s="2">
        <v>7</v>
      </c>
      <c r="C574" s="2" t="s">
        <v>56</v>
      </c>
      <c r="D574" s="2" t="s">
        <v>41</v>
      </c>
      <c r="E574" s="2" t="s">
        <v>24</v>
      </c>
      <c r="F574" s="2" t="s">
        <v>36</v>
      </c>
      <c r="G574" s="3" t="s">
        <v>111</v>
      </c>
      <c r="H574" s="4">
        <v>21200</v>
      </c>
      <c r="I574" s="2" t="s">
        <v>27</v>
      </c>
      <c r="J574" s="2"/>
      <c r="K574" s="22">
        <f t="shared" si="8"/>
        <v>0</v>
      </c>
    </row>
    <row r="575" spans="1:11" x14ac:dyDescent="0.45">
      <c r="A575" s="5" t="s">
        <v>668</v>
      </c>
      <c r="B575" s="5">
        <v>4</v>
      </c>
      <c r="C575" s="5" t="s">
        <v>47</v>
      </c>
      <c r="D575" s="5" t="s">
        <v>23</v>
      </c>
      <c r="E575" s="5" t="s">
        <v>13</v>
      </c>
      <c r="F575" s="5" t="s">
        <v>63</v>
      </c>
      <c r="G575" s="6" t="s">
        <v>97</v>
      </c>
      <c r="H575" s="7">
        <v>7900</v>
      </c>
      <c r="I575" s="5" t="s">
        <v>16</v>
      </c>
      <c r="J575" s="5"/>
      <c r="K575" s="22">
        <f t="shared" si="8"/>
        <v>0</v>
      </c>
    </row>
    <row r="576" spans="1:11" x14ac:dyDescent="0.45">
      <c r="A576" s="2" t="s">
        <v>669</v>
      </c>
      <c r="B576" s="2">
        <v>6</v>
      </c>
      <c r="C576" s="2" t="s">
        <v>78</v>
      </c>
      <c r="D576" s="2" t="s">
        <v>23</v>
      </c>
      <c r="E576" s="2" t="s">
        <v>19</v>
      </c>
      <c r="F576" s="2" t="s">
        <v>14</v>
      </c>
      <c r="G576" s="3" t="s">
        <v>42</v>
      </c>
      <c r="H576" s="4">
        <v>148300</v>
      </c>
      <c r="I576" s="2" t="s">
        <v>20</v>
      </c>
      <c r="J576" s="2"/>
      <c r="K576" s="22">
        <f t="shared" si="8"/>
        <v>0</v>
      </c>
    </row>
    <row r="577" spans="1:11" x14ac:dyDescent="0.45">
      <c r="A577" s="5" t="s">
        <v>670</v>
      </c>
      <c r="B577" s="5">
        <v>4</v>
      </c>
      <c r="C577" s="5" t="s">
        <v>47</v>
      </c>
      <c r="D577" s="5" t="s">
        <v>23</v>
      </c>
      <c r="E577" s="5" t="s">
        <v>19</v>
      </c>
      <c r="F577" s="5" t="s">
        <v>63</v>
      </c>
      <c r="G577" s="6" t="s">
        <v>64</v>
      </c>
      <c r="H577" s="7">
        <v>10500</v>
      </c>
      <c r="I577" s="5" t="s">
        <v>20</v>
      </c>
      <c r="J577" s="5"/>
      <c r="K577" s="22">
        <f t="shared" si="8"/>
        <v>0</v>
      </c>
    </row>
    <row r="578" spans="1:11" x14ac:dyDescent="0.45">
      <c r="A578" s="2" t="s">
        <v>671</v>
      </c>
      <c r="B578" s="2">
        <v>1</v>
      </c>
      <c r="C578" s="2" t="s">
        <v>66</v>
      </c>
      <c r="D578" s="2" t="s">
        <v>12</v>
      </c>
      <c r="E578" s="2" t="s">
        <v>57</v>
      </c>
      <c r="F578" s="2" t="s">
        <v>63</v>
      </c>
      <c r="G578" s="3" t="s">
        <v>69</v>
      </c>
      <c r="H578" s="4">
        <v>10100</v>
      </c>
      <c r="I578" s="2" t="s">
        <v>58</v>
      </c>
      <c r="J578" s="2"/>
      <c r="K578" s="22">
        <f t="shared" si="8"/>
        <v>0</v>
      </c>
    </row>
    <row r="579" spans="1:11" x14ac:dyDescent="0.45">
      <c r="A579" s="5" t="s">
        <v>672</v>
      </c>
      <c r="B579" s="5">
        <v>4</v>
      </c>
      <c r="C579" s="5" t="s">
        <v>47</v>
      </c>
      <c r="D579" s="5" t="s">
        <v>23</v>
      </c>
      <c r="E579" s="5" t="s">
        <v>24</v>
      </c>
      <c r="F579" s="5" t="s">
        <v>44</v>
      </c>
      <c r="G579" s="6" t="s">
        <v>67</v>
      </c>
      <c r="H579" s="7">
        <v>23900</v>
      </c>
      <c r="I579" s="5" t="s">
        <v>27</v>
      </c>
      <c r="J579" s="5"/>
      <c r="K579" s="22">
        <f t="shared" ref="K579:K642" si="9">IF(J579=$N$2,0,IF(J579=$N$3,1,IF(J579=$N$4,2)))</f>
        <v>0</v>
      </c>
    </row>
    <row r="580" spans="1:11" x14ac:dyDescent="0.45">
      <c r="A580" s="2" t="s">
        <v>673</v>
      </c>
      <c r="B580" s="2">
        <v>5</v>
      </c>
      <c r="C580" s="2" t="s">
        <v>22</v>
      </c>
      <c r="D580" s="2" t="s">
        <v>23</v>
      </c>
      <c r="E580" s="2" t="s">
        <v>19</v>
      </c>
      <c r="F580" s="2" t="s">
        <v>53</v>
      </c>
      <c r="G580" s="3" t="s">
        <v>54</v>
      </c>
      <c r="H580" s="4">
        <v>17200</v>
      </c>
      <c r="I580" s="2" t="s">
        <v>20</v>
      </c>
      <c r="J580" s="2"/>
      <c r="K580" s="22">
        <f t="shared" si="9"/>
        <v>0</v>
      </c>
    </row>
    <row r="581" spans="1:11" x14ac:dyDescent="0.45">
      <c r="A581" s="5" t="s">
        <v>674</v>
      </c>
      <c r="B581" s="5">
        <v>9</v>
      </c>
      <c r="C581" s="5" t="s">
        <v>40</v>
      </c>
      <c r="D581" s="5" t="s">
        <v>41</v>
      </c>
      <c r="E581" s="5" t="s">
        <v>35</v>
      </c>
      <c r="F581" s="5" t="s">
        <v>36</v>
      </c>
      <c r="G581" s="6" t="s">
        <v>111</v>
      </c>
      <c r="H581" s="7">
        <v>25000</v>
      </c>
      <c r="I581" s="5" t="s">
        <v>38</v>
      </c>
      <c r="J581" s="5"/>
      <c r="K581" s="22">
        <f t="shared" si="9"/>
        <v>0</v>
      </c>
    </row>
    <row r="582" spans="1:11" x14ac:dyDescent="0.45">
      <c r="A582" s="2" t="s">
        <v>675</v>
      </c>
      <c r="B582" s="2">
        <v>11</v>
      </c>
      <c r="C582" s="2" t="s">
        <v>29</v>
      </c>
      <c r="D582" s="2" t="s">
        <v>30</v>
      </c>
      <c r="E582" s="2" t="s">
        <v>71</v>
      </c>
      <c r="F582" s="2" t="s">
        <v>88</v>
      </c>
      <c r="G582" s="3" t="s">
        <v>176</v>
      </c>
      <c r="H582" s="4">
        <v>54000</v>
      </c>
      <c r="I582" s="2" t="s">
        <v>72</v>
      </c>
      <c r="J582" s="2"/>
      <c r="K582" s="22">
        <f t="shared" si="9"/>
        <v>0</v>
      </c>
    </row>
    <row r="583" spans="1:11" x14ac:dyDescent="0.45">
      <c r="A583" s="5" t="s">
        <v>676</v>
      </c>
      <c r="B583" s="5">
        <v>3</v>
      </c>
      <c r="C583" s="5" t="s">
        <v>18</v>
      </c>
      <c r="D583" s="5" t="s">
        <v>12</v>
      </c>
      <c r="E583" s="5" t="s">
        <v>19</v>
      </c>
      <c r="F583" s="5" t="s">
        <v>53</v>
      </c>
      <c r="G583" s="6" t="s">
        <v>164</v>
      </c>
      <c r="H583" s="7">
        <v>27600</v>
      </c>
      <c r="I583" s="5" t="s">
        <v>20</v>
      </c>
      <c r="J583" s="5"/>
      <c r="K583" s="22">
        <f t="shared" si="9"/>
        <v>0</v>
      </c>
    </row>
    <row r="584" spans="1:11" x14ac:dyDescent="0.45">
      <c r="A584" s="2" t="s">
        <v>677</v>
      </c>
      <c r="B584" s="2">
        <v>2</v>
      </c>
      <c r="C584" s="2" t="s">
        <v>11</v>
      </c>
      <c r="D584" s="2" t="s">
        <v>12</v>
      </c>
      <c r="E584" s="2" t="s">
        <v>24</v>
      </c>
      <c r="F584" s="2" t="s">
        <v>36</v>
      </c>
      <c r="G584" s="3" t="s">
        <v>111</v>
      </c>
      <c r="H584" s="4">
        <v>38400</v>
      </c>
      <c r="I584" s="2" t="s">
        <v>27</v>
      </c>
      <c r="J584" s="2"/>
      <c r="K584" s="22">
        <f t="shared" si="9"/>
        <v>0</v>
      </c>
    </row>
    <row r="585" spans="1:11" x14ac:dyDescent="0.45">
      <c r="A585" s="5" t="s">
        <v>678</v>
      </c>
      <c r="B585" s="5">
        <v>12</v>
      </c>
      <c r="C585" s="5" t="s">
        <v>34</v>
      </c>
      <c r="D585" s="5" t="s">
        <v>30</v>
      </c>
      <c r="E585" s="5" t="s">
        <v>24</v>
      </c>
      <c r="F585" s="5" t="s">
        <v>25</v>
      </c>
      <c r="G585" s="6" t="s">
        <v>26</v>
      </c>
      <c r="H585" s="7">
        <v>19500</v>
      </c>
      <c r="I585" s="5" t="s">
        <v>27</v>
      </c>
      <c r="J585" s="5"/>
      <c r="K585" s="22">
        <f t="shared" si="9"/>
        <v>0</v>
      </c>
    </row>
    <row r="586" spans="1:11" x14ac:dyDescent="0.45">
      <c r="A586" s="2" t="s">
        <v>679</v>
      </c>
      <c r="B586" s="2">
        <v>2</v>
      </c>
      <c r="C586" s="2" t="s">
        <v>11</v>
      </c>
      <c r="D586" s="2" t="s">
        <v>12</v>
      </c>
      <c r="E586" s="2" t="s">
        <v>13</v>
      </c>
      <c r="F586" s="2" t="s">
        <v>50</v>
      </c>
      <c r="G586" s="3" t="s">
        <v>91</v>
      </c>
      <c r="H586" s="4">
        <v>25800</v>
      </c>
      <c r="I586" s="2" t="s">
        <v>16</v>
      </c>
      <c r="J586" s="2"/>
      <c r="K586" s="22">
        <f t="shared" si="9"/>
        <v>0</v>
      </c>
    </row>
    <row r="587" spans="1:11" x14ac:dyDescent="0.45">
      <c r="A587" s="5" t="s">
        <v>680</v>
      </c>
      <c r="B587" s="5">
        <v>11</v>
      </c>
      <c r="C587" s="5" t="s">
        <v>29</v>
      </c>
      <c r="D587" s="5" t="s">
        <v>30</v>
      </c>
      <c r="E587" s="5" t="s">
        <v>71</v>
      </c>
      <c r="F587" s="5" t="s">
        <v>14</v>
      </c>
      <c r="G587" s="6" t="s">
        <v>48</v>
      </c>
      <c r="H587" s="7">
        <v>71200</v>
      </c>
      <c r="I587" s="5" t="s">
        <v>72</v>
      </c>
      <c r="J587" s="5"/>
      <c r="K587" s="22">
        <f t="shared" si="9"/>
        <v>0</v>
      </c>
    </row>
    <row r="588" spans="1:11" x14ac:dyDescent="0.45">
      <c r="A588" s="2" t="s">
        <v>681</v>
      </c>
      <c r="B588" s="2">
        <v>11</v>
      </c>
      <c r="C588" s="2" t="s">
        <v>29</v>
      </c>
      <c r="D588" s="2" t="s">
        <v>30</v>
      </c>
      <c r="E588" s="2" t="s">
        <v>71</v>
      </c>
      <c r="F588" s="2" t="s">
        <v>88</v>
      </c>
      <c r="G588" s="3" t="s">
        <v>176</v>
      </c>
      <c r="H588" s="4">
        <v>62400</v>
      </c>
      <c r="I588" s="2" t="s">
        <v>72</v>
      </c>
      <c r="J588" s="2"/>
      <c r="K588" s="22">
        <f t="shared" si="9"/>
        <v>0</v>
      </c>
    </row>
    <row r="589" spans="1:11" x14ac:dyDescent="0.45">
      <c r="A589" s="5" t="s">
        <v>682</v>
      </c>
      <c r="B589" s="5">
        <v>7</v>
      </c>
      <c r="C589" s="5" t="s">
        <v>56</v>
      </c>
      <c r="D589" s="5" t="s">
        <v>41</v>
      </c>
      <c r="E589" s="5" t="s">
        <v>57</v>
      </c>
      <c r="F589" s="5" t="s">
        <v>85</v>
      </c>
      <c r="G589" s="6" t="s">
        <v>129</v>
      </c>
      <c r="H589" s="7">
        <v>6100</v>
      </c>
      <c r="I589" s="5" t="s">
        <v>58</v>
      </c>
      <c r="J589" s="5"/>
      <c r="K589" s="22">
        <f t="shared" si="9"/>
        <v>0</v>
      </c>
    </row>
    <row r="590" spans="1:11" x14ac:dyDescent="0.45">
      <c r="A590" s="2" t="s">
        <v>683</v>
      </c>
      <c r="B590" s="2">
        <v>6</v>
      </c>
      <c r="C590" s="2" t="s">
        <v>78</v>
      </c>
      <c r="D590" s="2" t="s">
        <v>23</v>
      </c>
      <c r="E590" s="2" t="s">
        <v>35</v>
      </c>
      <c r="F590" s="2" t="s">
        <v>75</v>
      </c>
      <c r="G590" s="3" t="s">
        <v>76</v>
      </c>
      <c r="H590" s="4">
        <v>4000</v>
      </c>
      <c r="I590" s="2" t="s">
        <v>38</v>
      </c>
      <c r="J590" s="2"/>
      <c r="K590" s="22">
        <f t="shared" si="9"/>
        <v>0</v>
      </c>
    </row>
    <row r="591" spans="1:11" x14ac:dyDescent="0.45">
      <c r="A591" s="5" t="s">
        <v>684</v>
      </c>
      <c r="B591" s="5">
        <v>12</v>
      </c>
      <c r="C591" s="5" t="s">
        <v>34</v>
      </c>
      <c r="D591" s="5" t="s">
        <v>30</v>
      </c>
      <c r="E591" s="5" t="s">
        <v>13</v>
      </c>
      <c r="F591" s="5" t="s">
        <v>50</v>
      </c>
      <c r="G591" s="6" t="s">
        <v>144</v>
      </c>
      <c r="H591" s="7">
        <v>5500</v>
      </c>
      <c r="I591" s="5" t="s">
        <v>16</v>
      </c>
      <c r="J591" s="5"/>
      <c r="K591" s="22">
        <f t="shared" si="9"/>
        <v>0</v>
      </c>
    </row>
    <row r="592" spans="1:11" x14ac:dyDescent="0.45">
      <c r="A592" s="2" t="s">
        <v>685</v>
      </c>
      <c r="B592" s="2">
        <v>9</v>
      </c>
      <c r="C592" s="2" t="s">
        <v>40</v>
      </c>
      <c r="D592" s="2" t="s">
        <v>41</v>
      </c>
      <c r="E592" s="2" t="s">
        <v>24</v>
      </c>
      <c r="F592" s="2" t="s">
        <v>14</v>
      </c>
      <c r="G592" s="3" t="s">
        <v>15</v>
      </c>
      <c r="H592" s="4">
        <v>449300</v>
      </c>
      <c r="I592" s="2" t="s">
        <v>27</v>
      </c>
      <c r="J592" s="2"/>
      <c r="K592" s="22">
        <f t="shared" si="9"/>
        <v>0</v>
      </c>
    </row>
    <row r="593" spans="1:11" x14ac:dyDescent="0.45">
      <c r="A593" s="5" t="s">
        <v>686</v>
      </c>
      <c r="B593" s="5">
        <v>9</v>
      </c>
      <c r="C593" s="5" t="s">
        <v>40</v>
      </c>
      <c r="D593" s="5" t="s">
        <v>41</v>
      </c>
      <c r="E593" s="5" t="s">
        <v>24</v>
      </c>
      <c r="F593" s="5" t="s">
        <v>44</v>
      </c>
      <c r="G593" s="6" t="s">
        <v>45</v>
      </c>
      <c r="H593" s="7">
        <v>40300</v>
      </c>
      <c r="I593" s="5" t="s">
        <v>27</v>
      </c>
      <c r="J593" s="5"/>
      <c r="K593" s="22">
        <f t="shared" si="9"/>
        <v>0</v>
      </c>
    </row>
    <row r="594" spans="1:11" x14ac:dyDescent="0.45">
      <c r="A594" s="2" t="s">
        <v>687</v>
      </c>
      <c r="B594" s="2">
        <v>5</v>
      </c>
      <c r="C594" s="2" t="s">
        <v>22</v>
      </c>
      <c r="D594" s="2" t="s">
        <v>23</v>
      </c>
      <c r="E594" s="2" t="s">
        <v>57</v>
      </c>
      <c r="F594" s="2" t="s">
        <v>63</v>
      </c>
      <c r="G594" s="3" t="s">
        <v>64</v>
      </c>
      <c r="H594" s="4">
        <v>6100</v>
      </c>
      <c r="I594" s="2" t="s">
        <v>58</v>
      </c>
      <c r="J594" s="2"/>
      <c r="K594" s="22">
        <f t="shared" si="9"/>
        <v>0</v>
      </c>
    </row>
    <row r="595" spans="1:11" x14ac:dyDescent="0.45">
      <c r="A595" s="5" t="s">
        <v>688</v>
      </c>
      <c r="B595" s="5">
        <v>5</v>
      </c>
      <c r="C595" s="5" t="s">
        <v>22</v>
      </c>
      <c r="D595" s="5" t="s">
        <v>23</v>
      </c>
      <c r="E595" s="5" t="s">
        <v>35</v>
      </c>
      <c r="F595" s="5" t="s">
        <v>36</v>
      </c>
      <c r="G595" s="6" t="s">
        <v>37</v>
      </c>
      <c r="H595" s="7">
        <v>15900</v>
      </c>
      <c r="I595" s="5" t="s">
        <v>38</v>
      </c>
      <c r="J595" s="5"/>
      <c r="K595" s="22">
        <f t="shared" si="9"/>
        <v>0</v>
      </c>
    </row>
    <row r="596" spans="1:11" x14ac:dyDescent="0.45">
      <c r="A596" s="2" t="s">
        <v>689</v>
      </c>
      <c r="B596" s="2">
        <v>1</v>
      </c>
      <c r="C596" s="2" t="s">
        <v>66</v>
      </c>
      <c r="D596" s="2" t="s">
        <v>12</v>
      </c>
      <c r="E596" s="2" t="s">
        <v>13</v>
      </c>
      <c r="F596" s="2" t="s">
        <v>50</v>
      </c>
      <c r="G596" s="3" t="s">
        <v>91</v>
      </c>
      <c r="H596" s="4">
        <v>40700</v>
      </c>
      <c r="I596" s="2" t="s">
        <v>16</v>
      </c>
      <c r="J596" s="2"/>
      <c r="K596" s="22">
        <f t="shared" si="9"/>
        <v>0</v>
      </c>
    </row>
    <row r="597" spans="1:11" x14ac:dyDescent="0.45">
      <c r="A597" s="5" t="s">
        <v>690</v>
      </c>
      <c r="B597" s="5">
        <v>9</v>
      </c>
      <c r="C597" s="5" t="s">
        <v>40</v>
      </c>
      <c r="D597" s="5" t="s">
        <v>41</v>
      </c>
      <c r="E597" s="5" t="s">
        <v>19</v>
      </c>
      <c r="F597" s="5" t="s">
        <v>53</v>
      </c>
      <c r="G597" s="6" t="s">
        <v>164</v>
      </c>
      <c r="H597" s="7">
        <v>48200</v>
      </c>
      <c r="I597" s="5" t="s">
        <v>20</v>
      </c>
      <c r="J597" s="5"/>
      <c r="K597" s="22">
        <f t="shared" si="9"/>
        <v>0</v>
      </c>
    </row>
    <row r="598" spans="1:11" x14ac:dyDescent="0.45">
      <c r="A598" s="2" t="s">
        <v>691</v>
      </c>
      <c r="B598" s="2">
        <v>4</v>
      </c>
      <c r="C598" s="2" t="s">
        <v>47</v>
      </c>
      <c r="D598" s="2" t="s">
        <v>23</v>
      </c>
      <c r="E598" s="2" t="s">
        <v>19</v>
      </c>
      <c r="F598" s="2" t="s">
        <v>31</v>
      </c>
      <c r="G598" s="3" t="s">
        <v>32</v>
      </c>
      <c r="H598" s="4">
        <v>5000</v>
      </c>
      <c r="I598" s="2" t="s">
        <v>20</v>
      </c>
      <c r="J598" s="2"/>
      <c r="K598" s="22">
        <f t="shared" si="9"/>
        <v>0</v>
      </c>
    </row>
    <row r="599" spans="1:11" x14ac:dyDescent="0.45">
      <c r="A599" s="5" t="s">
        <v>692</v>
      </c>
      <c r="B599" s="5">
        <v>7</v>
      </c>
      <c r="C599" s="5" t="s">
        <v>56</v>
      </c>
      <c r="D599" s="5" t="s">
        <v>41</v>
      </c>
      <c r="E599" s="5" t="s">
        <v>19</v>
      </c>
      <c r="F599" s="5" t="s">
        <v>53</v>
      </c>
      <c r="G599" s="6" t="s">
        <v>164</v>
      </c>
      <c r="H599" s="7">
        <v>17600</v>
      </c>
      <c r="I599" s="5" t="s">
        <v>20</v>
      </c>
      <c r="J599" s="5"/>
      <c r="K599" s="22">
        <f t="shared" si="9"/>
        <v>0</v>
      </c>
    </row>
    <row r="600" spans="1:11" x14ac:dyDescent="0.45">
      <c r="A600" s="2" t="s">
        <v>693</v>
      </c>
      <c r="B600" s="2">
        <v>12</v>
      </c>
      <c r="C600" s="2" t="s">
        <v>34</v>
      </c>
      <c r="D600" s="2" t="s">
        <v>30</v>
      </c>
      <c r="E600" s="2" t="s">
        <v>71</v>
      </c>
      <c r="F600" s="2" t="s">
        <v>88</v>
      </c>
      <c r="G600" s="3" t="s">
        <v>176</v>
      </c>
      <c r="H600" s="4">
        <v>2300</v>
      </c>
      <c r="I600" s="2" t="s">
        <v>72</v>
      </c>
      <c r="J600" s="2"/>
      <c r="K600" s="22">
        <f t="shared" si="9"/>
        <v>0</v>
      </c>
    </row>
    <row r="601" spans="1:11" x14ac:dyDescent="0.45">
      <c r="A601" s="5" t="s">
        <v>694</v>
      </c>
      <c r="B601" s="5">
        <v>11</v>
      </c>
      <c r="C601" s="5" t="s">
        <v>29</v>
      </c>
      <c r="D601" s="5" t="s">
        <v>30</v>
      </c>
      <c r="E601" s="5" t="s">
        <v>13</v>
      </c>
      <c r="F601" s="5" t="s">
        <v>63</v>
      </c>
      <c r="G601" s="6" t="s">
        <v>69</v>
      </c>
      <c r="H601" s="7">
        <v>9300</v>
      </c>
      <c r="I601" s="5" t="s">
        <v>16</v>
      </c>
      <c r="J601" s="5"/>
      <c r="K601" s="22">
        <f t="shared" si="9"/>
        <v>0</v>
      </c>
    </row>
    <row r="602" spans="1:11" x14ac:dyDescent="0.45">
      <c r="A602" s="2" t="s">
        <v>695</v>
      </c>
      <c r="B602" s="2">
        <v>2</v>
      </c>
      <c r="C602" s="2" t="s">
        <v>11</v>
      </c>
      <c r="D602" s="2" t="s">
        <v>12</v>
      </c>
      <c r="E602" s="2" t="s">
        <v>19</v>
      </c>
      <c r="F602" s="2" t="s">
        <v>63</v>
      </c>
      <c r="G602" s="3" t="s">
        <v>69</v>
      </c>
      <c r="H602" s="4">
        <v>5200</v>
      </c>
      <c r="I602" s="2" t="s">
        <v>20</v>
      </c>
      <c r="J602" s="2"/>
      <c r="K602" s="22">
        <f t="shared" si="9"/>
        <v>0</v>
      </c>
    </row>
    <row r="603" spans="1:11" x14ac:dyDescent="0.45">
      <c r="A603" s="5" t="s">
        <v>696</v>
      </c>
      <c r="B603" s="5">
        <v>3</v>
      </c>
      <c r="C603" s="5" t="s">
        <v>18</v>
      </c>
      <c r="D603" s="5" t="s">
        <v>12</v>
      </c>
      <c r="E603" s="5" t="s">
        <v>19</v>
      </c>
      <c r="F603" s="5" t="s">
        <v>63</v>
      </c>
      <c r="G603" s="6" t="s">
        <v>97</v>
      </c>
      <c r="H603" s="7">
        <v>1200</v>
      </c>
      <c r="I603" s="5" t="s">
        <v>20</v>
      </c>
      <c r="J603" s="5"/>
      <c r="K603" s="22">
        <f t="shared" si="9"/>
        <v>0</v>
      </c>
    </row>
    <row r="604" spans="1:11" x14ac:dyDescent="0.45">
      <c r="A604" s="2" t="s">
        <v>697</v>
      </c>
      <c r="B604" s="2">
        <v>4</v>
      </c>
      <c r="C604" s="2" t="s">
        <v>47</v>
      </c>
      <c r="D604" s="2" t="s">
        <v>23</v>
      </c>
      <c r="E604" s="2" t="s">
        <v>71</v>
      </c>
      <c r="F604" s="2" t="s">
        <v>14</v>
      </c>
      <c r="G604" s="3" t="s">
        <v>42</v>
      </c>
      <c r="H604" s="4">
        <v>63800</v>
      </c>
      <c r="I604" s="2" t="s">
        <v>72</v>
      </c>
      <c r="J604" s="2"/>
      <c r="K604" s="22">
        <f t="shared" si="9"/>
        <v>0</v>
      </c>
    </row>
    <row r="605" spans="1:11" x14ac:dyDescent="0.45">
      <c r="A605" s="5" t="s">
        <v>698</v>
      </c>
      <c r="B605" s="5">
        <v>7</v>
      </c>
      <c r="C605" s="5" t="s">
        <v>56</v>
      </c>
      <c r="D605" s="5" t="s">
        <v>41</v>
      </c>
      <c r="E605" s="5" t="s">
        <v>35</v>
      </c>
      <c r="F605" s="5" t="s">
        <v>14</v>
      </c>
      <c r="G605" s="6" t="s">
        <v>42</v>
      </c>
      <c r="H605" s="7">
        <v>121900</v>
      </c>
      <c r="I605" s="5" t="s">
        <v>38</v>
      </c>
      <c r="J605" s="5"/>
      <c r="K605" s="22">
        <f t="shared" si="9"/>
        <v>0</v>
      </c>
    </row>
    <row r="606" spans="1:11" x14ac:dyDescent="0.45">
      <c r="A606" s="2" t="s">
        <v>699</v>
      </c>
      <c r="B606" s="2">
        <v>12</v>
      </c>
      <c r="C606" s="2" t="s">
        <v>34</v>
      </c>
      <c r="D606" s="2" t="s">
        <v>30</v>
      </c>
      <c r="E606" s="2" t="s">
        <v>13</v>
      </c>
      <c r="F606" s="2" t="s">
        <v>63</v>
      </c>
      <c r="G606" s="3" t="s">
        <v>69</v>
      </c>
      <c r="H606" s="4">
        <v>200</v>
      </c>
      <c r="I606" s="2" t="s">
        <v>16</v>
      </c>
      <c r="J606" s="2"/>
      <c r="K606" s="22">
        <f t="shared" si="9"/>
        <v>0</v>
      </c>
    </row>
    <row r="607" spans="1:11" x14ac:dyDescent="0.45">
      <c r="A607" s="5" t="s">
        <v>700</v>
      </c>
      <c r="B607" s="5">
        <v>12</v>
      </c>
      <c r="C607" s="5" t="s">
        <v>34</v>
      </c>
      <c r="D607" s="5" t="s">
        <v>30</v>
      </c>
      <c r="E607" s="5" t="s">
        <v>19</v>
      </c>
      <c r="F607" s="5" t="s">
        <v>53</v>
      </c>
      <c r="G607" s="6" t="s">
        <v>121</v>
      </c>
      <c r="H607" s="7">
        <v>30800</v>
      </c>
      <c r="I607" s="5" t="s">
        <v>20</v>
      </c>
      <c r="J607" s="5"/>
      <c r="K607" s="22">
        <f t="shared" si="9"/>
        <v>0</v>
      </c>
    </row>
    <row r="608" spans="1:11" x14ac:dyDescent="0.45">
      <c r="A608" s="2" t="s">
        <v>701</v>
      </c>
      <c r="B608" s="2">
        <v>8</v>
      </c>
      <c r="C608" s="2" t="s">
        <v>60</v>
      </c>
      <c r="D608" s="2" t="s">
        <v>41</v>
      </c>
      <c r="E608" s="2" t="s">
        <v>57</v>
      </c>
      <c r="F608" s="2" t="s">
        <v>14</v>
      </c>
      <c r="G608" s="3" t="s">
        <v>48</v>
      </c>
      <c r="H608" s="4">
        <v>100600</v>
      </c>
      <c r="I608" s="2" t="s">
        <v>58</v>
      </c>
      <c r="J608" s="2"/>
      <c r="K608" s="22">
        <f t="shared" si="9"/>
        <v>0</v>
      </c>
    </row>
    <row r="609" spans="1:11" x14ac:dyDescent="0.45">
      <c r="A609" s="5" t="s">
        <v>702</v>
      </c>
      <c r="B609" s="5">
        <v>11</v>
      </c>
      <c r="C609" s="5" t="s">
        <v>29</v>
      </c>
      <c r="D609" s="5" t="s">
        <v>30</v>
      </c>
      <c r="E609" s="5" t="s">
        <v>19</v>
      </c>
      <c r="F609" s="5" t="s">
        <v>14</v>
      </c>
      <c r="G609" s="6" t="s">
        <v>42</v>
      </c>
      <c r="H609" s="7">
        <v>79500</v>
      </c>
      <c r="I609" s="5" t="s">
        <v>20</v>
      </c>
      <c r="J609" s="5"/>
      <c r="K609" s="22">
        <f t="shared" si="9"/>
        <v>0</v>
      </c>
    </row>
    <row r="610" spans="1:11" x14ac:dyDescent="0.45">
      <c r="A610" s="2" t="s">
        <v>703</v>
      </c>
      <c r="B610" s="2">
        <v>10</v>
      </c>
      <c r="C610" s="2" t="s">
        <v>40</v>
      </c>
      <c r="D610" s="2" t="s">
        <v>30</v>
      </c>
      <c r="E610" s="2" t="s">
        <v>13</v>
      </c>
      <c r="F610" s="2" t="s">
        <v>63</v>
      </c>
      <c r="G610" s="3" t="s">
        <v>69</v>
      </c>
      <c r="H610" s="4">
        <v>15800</v>
      </c>
      <c r="I610" s="2" t="s">
        <v>16</v>
      </c>
      <c r="J610" s="2"/>
      <c r="K610" s="22">
        <f t="shared" si="9"/>
        <v>0</v>
      </c>
    </row>
    <row r="611" spans="1:11" x14ac:dyDescent="0.45">
      <c r="A611" s="5" t="s">
        <v>704</v>
      </c>
      <c r="B611" s="5">
        <v>7</v>
      </c>
      <c r="C611" s="5" t="s">
        <v>56</v>
      </c>
      <c r="D611" s="5" t="s">
        <v>41</v>
      </c>
      <c r="E611" s="5" t="s">
        <v>19</v>
      </c>
      <c r="F611" s="5" t="s">
        <v>14</v>
      </c>
      <c r="G611" s="6" t="s">
        <v>42</v>
      </c>
      <c r="H611" s="7">
        <v>3200</v>
      </c>
      <c r="I611" s="5" t="s">
        <v>20</v>
      </c>
      <c r="J611" s="5"/>
      <c r="K611" s="22">
        <f t="shared" si="9"/>
        <v>0</v>
      </c>
    </row>
    <row r="612" spans="1:11" x14ac:dyDescent="0.45">
      <c r="A612" s="2" t="s">
        <v>705</v>
      </c>
      <c r="B612" s="2">
        <v>5</v>
      </c>
      <c r="C612" s="2" t="s">
        <v>22</v>
      </c>
      <c r="D612" s="2" t="s">
        <v>23</v>
      </c>
      <c r="E612" s="2" t="s">
        <v>57</v>
      </c>
      <c r="F612" s="2" t="s">
        <v>14</v>
      </c>
      <c r="G612" s="3" t="s">
        <v>48</v>
      </c>
      <c r="H612" s="4">
        <v>158800</v>
      </c>
      <c r="I612" s="2" t="s">
        <v>58</v>
      </c>
      <c r="J612" s="2"/>
      <c r="K612" s="22">
        <f t="shared" si="9"/>
        <v>0</v>
      </c>
    </row>
    <row r="613" spans="1:11" x14ac:dyDescent="0.45">
      <c r="A613" s="5" t="s">
        <v>706</v>
      </c>
      <c r="B613" s="5">
        <v>5</v>
      </c>
      <c r="C613" s="5" t="s">
        <v>22</v>
      </c>
      <c r="D613" s="5" t="s">
        <v>23</v>
      </c>
      <c r="E613" s="5" t="s">
        <v>35</v>
      </c>
      <c r="F613" s="5" t="s">
        <v>105</v>
      </c>
      <c r="G613" s="6" t="s">
        <v>133</v>
      </c>
      <c r="H613" s="7">
        <v>1400</v>
      </c>
      <c r="I613" s="5" t="s">
        <v>38</v>
      </c>
      <c r="J613" s="5"/>
      <c r="K613" s="22">
        <f t="shared" si="9"/>
        <v>0</v>
      </c>
    </row>
    <row r="614" spans="1:11" x14ac:dyDescent="0.45">
      <c r="A614" s="2" t="s">
        <v>707</v>
      </c>
      <c r="B614" s="2">
        <v>2</v>
      </c>
      <c r="C614" s="2" t="s">
        <v>11</v>
      </c>
      <c r="D614" s="2" t="s">
        <v>12</v>
      </c>
      <c r="E614" s="2" t="s">
        <v>19</v>
      </c>
      <c r="F614" s="2" t="s">
        <v>53</v>
      </c>
      <c r="G614" s="3" t="s">
        <v>54</v>
      </c>
      <c r="H614" s="4">
        <v>17300</v>
      </c>
      <c r="I614" s="2" t="s">
        <v>20</v>
      </c>
      <c r="J614" s="2" t="s">
        <v>415</v>
      </c>
      <c r="K614" s="22">
        <f t="shared" si="9"/>
        <v>2</v>
      </c>
    </row>
    <row r="615" spans="1:11" x14ac:dyDescent="0.45">
      <c r="A615" s="5" t="s">
        <v>708</v>
      </c>
      <c r="B615" s="5">
        <v>9</v>
      </c>
      <c r="C615" s="5" t="s">
        <v>40</v>
      </c>
      <c r="D615" s="5" t="s">
        <v>41</v>
      </c>
      <c r="E615" s="5" t="s">
        <v>57</v>
      </c>
      <c r="F615" s="5" t="s">
        <v>85</v>
      </c>
      <c r="G615" s="6" t="s">
        <v>159</v>
      </c>
      <c r="H615" s="7">
        <v>6800</v>
      </c>
      <c r="I615" s="5" t="s">
        <v>58</v>
      </c>
      <c r="J615" s="5"/>
      <c r="K615" s="22">
        <f t="shared" si="9"/>
        <v>0</v>
      </c>
    </row>
    <row r="616" spans="1:11" x14ac:dyDescent="0.45">
      <c r="A616" s="2" t="s">
        <v>709</v>
      </c>
      <c r="B616" s="2">
        <v>10</v>
      </c>
      <c r="C616" s="2" t="s">
        <v>40</v>
      </c>
      <c r="D616" s="2" t="s">
        <v>30</v>
      </c>
      <c r="E616" s="2" t="s">
        <v>19</v>
      </c>
      <c r="F616" s="2" t="s">
        <v>14</v>
      </c>
      <c r="G616" s="3" t="s">
        <v>42</v>
      </c>
      <c r="H616" s="4">
        <v>255100</v>
      </c>
      <c r="I616" s="2" t="s">
        <v>20</v>
      </c>
      <c r="J616" s="2"/>
      <c r="K616" s="22">
        <f t="shared" si="9"/>
        <v>0</v>
      </c>
    </row>
    <row r="617" spans="1:11" x14ac:dyDescent="0.45">
      <c r="A617" s="5" t="s">
        <v>710</v>
      </c>
      <c r="B617" s="5">
        <v>1</v>
      </c>
      <c r="C617" s="5" t="s">
        <v>66</v>
      </c>
      <c r="D617" s="5" t="s">
        <v>12</v>
      </c>
      <c r="E617" s="5" t="s">
        <v>13</v>
      </c>
      <c r="F617" s="5" t="s">
        <v>14</v>
      </c>
      <c r="G617" s="6" t="s">
        <v>15</v>
      </c>
      <c r="H617" s="7">
        <v>148600</v>
      </c>
      <c r="I617" s="5" t="s">
        <v>16</v>
      </c>
      <c r="J617" s="5"/>
      <c r="K617" s="22">
        <f t="shared" si="9"/>
        <v>0</v>
      </c>
    </row>
    <row r="618" spans="1:11" x14ac:dyDescent="0.45">
      <c r="A618" s="2" t="s">
        <v>711</v>
      </c>
      <c r="B618" s="2">
        <v>12</v>
      </c>
      <c r="C618" s="2" t="s">
        <v>34</v>
      </c>
      <c r="D618" s="2" t="s">
        <v>30</v>
      </c>
      <c r="E618" s="2" t="s">
        <v>13</v>
      </c>
      <c r="F618" s="2" t="s">
        <v>102</v>
      </c>
      <c r="G618" s="3" t="s">
        <v>243</v>
      </c>
      <c r="H618" s="4">
        <v>11500</v>
      </c>
      <c r="I618" s="2" t="s">
        <v>16</v>
      </c>
      <c r="J618" s="2"/>
      <c r="K618" s="22">
        <f t="shared" si="9"/>
        <v>0</v>
      </c>
    </row>
    <row r="619" spans="1:11" x14ac:dyDescent="0.45">
      <c r="A619" s="5" t="s">
        <v>712</v>
      </c>
      <c r="B619" s="5">
        <v>5</v>
      </c>
      <c r="C619" s="5" t="s">
        <v>22</v>
      </c>
      <c r="D619" s="5" t="s">
        <v>23</v>
      </c>
      <c r="E619" s="5" t="s">
        <v>57</v>
      </c>
      <c r="F619" s="5" t="s">
        <v>75</v>
      </c>
      <c r="G619" s="6" t="s">
        <v>83</v>
      </c>
      <c r="H619" s="7">
        <v>23900</v>
      </c>
      <c r="I619" s="5" t="s">
        <v>58</v>
      </c>
      <c r="J619" s="5"/>
      <c r="K619" s="22">
        <f t="shared" si="9"/>
        <v>0</v>
      </c>
    </row>
    <row r="620" spans="1:11" x14ac:dyDescent="0.45">
      <c r="A620" s="2" t="s">
        <v>713</v>
      </c>
      <c r="B620" s="2">
        <v>3</v>
      </c>
      <c r="C620" s="2" t="s">
        <v>18</v>
      </c>
      <c r="D620" s="2" t="s">
        <v>12</v>
      </c>
      <c r="E620" s="2" t="s">
        <v>19</v>
      </c>
      <c r="F620" s="2" t="s">
        <v>31</v>
      </c>
      <c r="G620" s="3" t="s">
        <v>32</v>
      </c>
      <c r="H620" s="4">
        <v>5100</v>
      </c>
      <c r="I620" s="2" t="s">
        <v>20</v>
      </c>
      <c r="J620" s="2"/>
      <c r="K620" s="22">
        <f t="shared" si="9"/>
        <v>0</v>
      </c>
    </row>
    <row r="621" spans="1:11" x14ac:dyDescent="0.45">
      <c r="A621" s="5" t="s">
        <v>714</v>
      </c>
      <c r="B621" s="5">
        <v>8</v>
      </c>
      <c r="C621" s="5" t="s">
        <v>60</v>
      </c>
      <c r="D621" s="5" t="s">
        <v>41</v>
      </c>
      <c r="E621" s="5" t="s">
        <v>57</v>
      </c>
      <c r="F621" s="5" t="s">
        <v>75</v>
      </c>
      <c r="G621" s="6" t="s">
        <v>179</v>
      </c>
      <c r="H621" s="7">
        <v>4400</v>
      </c>
      <c r="I621" s="5" t="s">
        <v>58</v>
      </c>
      <c r="J621" s="5"/>
      <c r="K621" s="22">
        <f t="shared" si="9"/>
        <v>0</v>
      </c>
    </row>
    <row r="622" spans="1:11" x14ac:dyDescent="0.45">
      <c r="A622" s="2" t="s">
        <v>715</v>
      </c>
      <c r="B622" s="2">
        <v>6</v>
      </c>
      <c r="C622" s="2" t="s">
        <v>78</v>
      </c>
      <c r="D622" s="2" t="s">
        <v>23</v>
      </c>
      <c r="E622" s="2" t="s">
        <v>35</v>
      </c>
      <c r="F622" s="2" t="s">
        <v>14</v>
      </c>
      <c r="G622" s="3" t="s">
        <v>15</v>
      </c>
      <c r="H622" s="4">
        <v>41400</v>
      </c>
      <c r="I622" s="2" t="s">
        <v>38</v>
      </c>
      <c r="J622" s="2"/>
      <c r="K622" s="22">
        <f t="shared" si="9"/>
        <v>0</v>
      </c>
    </row>
    <row r="623" spans="1:11" x14ac:dyDescent="0.45">
      <c r="A623" s="5" t="s">
        <v>716</v>
      </c>
      <c r="B623" s="5">
        <v>1</v>
      </c>
      <c r="C623" s="5" t="s">
        <v>66</v>
      </c>
      <c r="D623" s="5" t="s">
        <v>12</v>
      </c>
      <c r="E623" s="5" t="s">
        <v>19</v>
      </c>
      <c r="F623" s="5" t="s">
        <v>53</v>
      </c>
      <c r="G623" s="6" t="s">
        <v>164</v>
      </c>
      <c r="H623" s="7">
        <v>15400</v>
      </c>
      <c r="I623" s="5" t="s">
        <v>20</v>
      </c>
      <c r="J623" s="5" t="s">
        <v>415</v>
      </c>
      <c r="K623" s="22">
        <f t="shared" si="9"/>
        <v>2</v>
      </c>
    </row>
    <row r="624" spans="1:11" x14ac:dyDescent="0.45">
      <c r="A624" s="2" t="s">
        <v>717</v>
      </c>
      <c r="B624" s="2">
        <v>3</v>
      </c>
      <c r="C624" s="2" t="s">
        <v>18</v>
      </c>
      <c r="D624" s="2" t="s">
        <v>12</v>
      </c>
      <c r="E624" s="2" t="s">
        <v>24</v>
      </c>
      <c r="F624" s="2" t="s">
        <v>44</v>
      </c>
      <c r="G624" s="3" t="s">
        <v>45</v>
      </c>
      <c r="H624" s="4">
        <v>92200</v>
      </c>
      <c r="I624" s="2" t="s">
        <v>27</v>
      </c>
      <c r="J624" s="2"/>
      <c r="K624" s="22">
        <f t="shared" si="9"/>
        <v>0</v>
      </c>
    </row>
    <row r="625" spans="1:11" x14ac:dyDescent="0.45">
      <c r="A625" s="5" t="s">
        <v>718</v>
      </c>
      <c r="B625" s="5">
        <v>6</v>
      </c>
      <c r="C625" s="5" t="s">
        <v>78</v>
      </c>
      <c r="D625" s="5" t="s">
        <v>23</v>
      </c>
      <c r="E625" s="5" t="s">
        <v>71</v>
      </c>
      <c r="F625" s="5" t="s">
        <v>94</v>
      </c>
      <c r="G625" s="6" t="s">
        <v>138</v>
      </c>
      <c r="H625" s="7">
        <v>25700</v>
      </c>
      <c r="I625" s="5" t="s">
        <v>72</v>
      </c>
      <c r="J625" s="5"/>
      <c r="K625" s="22">
        <f t="shared" si="9"/>
        <v>0</v>
      </c>
    </row>
    <row r="626" spans="1:11" x14ac:dyDescent="0.45">
      <c r="A626" s="2" t="s">
        <v>719</v>
      </c>
      <c r="B626" s="2">
        <v>3</v>
      </c>
      <c r="C626" s="2" t="s">
        <v>18</v>
      </c>
      <c r="D626" s="2" t="s">
        <v>12</v>
      </c>
      <c r="E626" s="2" t="s">
        <v>24</v>
      </c>
      <c r="F626" s="2" t="s">
        <v>25</v>
      </c>
      <c r="G626" s="3" t="s">
        <v>212</v>
      </c>
      <c r="H626" s="4">
        <v>58500</v>
      </c>
      <c r="I626" s="2" t="s">
        <v>27</v>
      </c>
      <c r="J626" s="2"/>
      <c r="K626" s="22">
        <f t="shared" si="9"/>
        <v>0</v>
      </c>
    </row>
    <row r="627" spans="1:11" x14ac:dyDescent="0.45">
      <c r="A627" s="5" t="s">
        <v>720</v>
      </c>
      <c r="B627" s="5">
        <v>1</v>
      </c>
      <c r="C627" s="5" t="s">
        <v>66</v>
      </c>
      <c r="D627" s="5" t="s">
        <v>12</v>
      </c>
      <c r="E627" s="5" t="s">
        <v>19</v>
      </c>
      <c r="F627" s="5" t="s">
        <v>53</v>
      </c>
      <c r="G627" s="6" t="s">
        <v>121</v>
      </c>
      <c r="H627" s="7">
        <v>20200</v>
      </c>
      <c r="I627" s="5" t="s">
        <v>20</v>
      </c>
      <c r="J627" s="5" t="s">
        <v>415</v>
      </c>
      <c r="K627" s="22">
        <f t="shared" si="9"/>
        <v>2</v>
      </c>
    </row>
    <row r="628" spans="1:11" x14ac:dyDescent="0.45">
      <c r="A628" s="2" t="s">
        <v>721</v>
      </c>
      <c r="B628" s="2">
        <v>8</v>
      </c>
      <c r="C628" s="2" t="s">
        <v>60</v>
      </c>
      <c r="D628" s="2" t="s">
        <v>41</v>
      </c>
      <c r="E628" s="2" t="s">
        <v>19</v>
      </c>
      <c r="F628" s="2" t="s">
        <v>53</v>
      </c>
      <c r="G628" s="3" t="s">
        <v>121</v>
      </c>
      <c r="H628" s="4">
        <v>21100</v>
      </c>
      <c r="I628" s="2" t="s">
        <v>20</v>
      </c>
      <c r="J628" s="2"/>
      <c r="K628" s="22">
        <f t="shared" si="9"/>
        <v>0</v>
      </c>
    </row>
    <row r="629" spans="1:11" x14ac:dyDescent="0.45">
      <c r="A629" s="5" t="s">
        <v>722</v>
      </c>
      <c r="B629" s="5">
        <v>4</v>
      </c>
      <c r="C629" s="5" t="s">
        <v>47</v>
      </c>
      <c r="D629" s="5" t="s">
        <v>23</v>
      </c>
      <c r="E629" s="5" t="s">
        <v>13</v>
      </c>
      <c r="F629" s="5" t="s">
        <v>102</v>
      </c>
      <c r="G629" s="6" t="s">
        <v>243</v>
      </c>
      <c r="H629" s="7">
        <v>182700</v>
      </c>
      <c r="I629" s="5" t="s">
        <v>16</v>
      </c>
      <c r="J629" s="5" t="s">
        <v>108</v>
      </c>
      <c r="K629" s="22">
        <f t="shared" si="9"/>
        <v>1</v>
      </c>
    </row>
    <row r="630" spans="1:11" x14ac:dyDescent="0.45">
      <c r="A630" s="2" t="s">
        <v>723</v>
      </c>
      <c r="B630" s="2">
        <v>10</v>
      </c>
      <c r="C630" s="2" t="s">
        <v>40</v>
      </c>
      <c r="D630" s="2" t="s">
        <v>30</v>
      </c>
      <c r="E630" s="2" t="s">
        <v>24</v>
      </c>
      <c r="F630" s="2" t="s">
        <v>14</v>
      </c>
      <c r="G630" s="3" t="s">
        <v>42</v>
      </c>
      <c r="H630" s="4">
        <v>28500</v>
      </c>
      <c r="I630" s="2" t="s">
        <v>27</v>
      </c>
      <c r="J630" s="2"/>
      <c r="K630" s="22">
        <f t="shared" si="9"/>
        <v>0</v>
      </c>
    </row>
    <row r="631" spans="1:11" x14ac:dyDescent="0.45">
      <c r="A631" s="5" t="s">
        <v>724</v>
      </c>
      <c r="B631" s="5">
        <v>2</v>
      </c>
      <c r="C631" s="5" t="s">
        <v>11</v>
      </c>
      <c r="D631" s="5" t="s">
        <v>12</v>
      </c>
      <c r="E631" s="5" t="s">
        <v>13</v>
      </c>
      <c r="F631" s="5" t="s">
        <v>63</v>
      </c>
      <c r="G631" s="6" t="s">
        <v>97</v>
      </c>
      <c r="H631" s="7">
        <v>1200</v>
      </c>
      <c r="I631" s="5" t="s">
        <v>16</v>
      </c>
      <c r="J631" s="5"/>
      <c r="K631" s="22">
        <f t="shared" si="9"/>
        <v>0</v>
      </c>
    </row>
    <row r="632" spans="1:11" x14ac:dyDescent="0.45">
      <c r="A632" s="2" t="s">
        <v>725</v>
      </c>
      <c r="B632" s="2">
        <v>1</v>
      </c>
      <c r="C632" s="2" t="s">
        <v>66</v>
      </c>
      <c r="D632" s="2" t="s">
        <v>12</v>
      </c>
      <c r="E632" s="2" t="s">
        <v>71</v>
      </c>
      <c r="F632" s="2" t="s">
        <v>88</v>
      </c>
      <c r="G632" s="3" t="s">
        <v>258</v>
      </c>
      <c r="H632" s="4">
        <v>37400</v>
      </c>
      <c r="I632" s="2" t="s">
        <v>72</v>
      </c>
      <c r="J632" s="2"/>
      <c r="K632" s="22">
        <f t="shared" si="9"/>
        <v>0</v>
      </c>
    </row>
    <row r="633" spans="1:11" x14ac:dyDescent="0.45">
      <c r="A633" s="5" t="s">
        <v>726</v>
      </c>
      <c r="B633" s="5">
        <v>12</v>
      </c>
      <c r="C633" s="5" t="s">
        <v>34</v>
      </c>
      <c r="D633" s="5" t="s">
        <v>30</v>
      </c>
      <c r="E633" s="5" t="s">
        <v>19</v>
      </c>
      <c r="F633" s="5" t="s">
        <v>63</v>
      </c>
      <c r="G633" s="6" t="s">
        <v>69</v>
      </c>
      <c r="H633" s="7">
        <v>13500</v>
      </c>
      <c r="I633" s="5" t="s">
        <v>20</v>
      </c>
      <c r="J633" s="5"/>
      <c r="K633" s="22">
        <f t="shared" si="9"/>
        <v>0</v>
      </c>
    </row>
    <row r="634" spans="1:11" x14ac:dyDescent="0.45">
      <c r="A634" s="2" t="s">
        <v>727</v>
      </c>
      <c r="B634" s="2">
        <v>5</v>
      </c>
      <c r="C634" s="2" t="s">
        <v>22</v>
      </c>
      <c r="D634" s="2" t="s">
        <v>23</v>
      </c>
      <c r="E634" s="2" t="s">
        <v>19</v>
      </c>
      <c r="F634" s="2" t="s">
        <v>14</v>
      </c>
      <c r="G634" s="3" t="s">
        <v>15</v>
      </c>
      <c r="H634" s="4">
        <v>155400</v>
      </c>
      <c r="I634" s="2" t="s">
        <v>20</v>
      </c>
      <c r="J634" s="2"/>
      <c r="K634" s="22">
        <f t="shared" si="9"/>
        <v>0</v>
      </c>
    </row>
    <row r="635" spans="1:11" x14ac:dyDescent="0.45">
      <c r="A635" s="5" t="s">
        <v>728</v>
      </c>
      <c r="B635" s="5">
        <v>12</v>
      </c>
      <c r="C635" s="5" t="s">
        <v>34</v>
      </c>
      <c r="D635" s="5" t="s">
        <v>30</v>
      </c>
      <c r="E635" s="5" t="s">
        <v>35</v>
      </c>
      <c r="F635" s="5" t="s">
        <v>14</v>
      </c>
      <c r="G635" s="6" t="s">
        <v>42</v>
      </c>
      <c r="H635" s="7">
        <v>50700</v>
      </c>
      <c r="I635" s="5" t="s">
        <v>38</v>
      </c>
      <c r="J635" s="5"/>
      <c r="K635" s="22">
        <f t="shared" si="9"/>
        <v>0</v>
      </c>
    </row>
    <row r="636" spans="1:11" x14ac:dyDescent="0.45">
      <c r="A636" s="2" t="s">
        <v>729</v>
      </c>
      <c r="B636" s="2">
        <v>3</v>
      </c>
      <c r="C636" s="2" t="s">
        <v>18</v>
      </c>
      <c r="D636" s="2" t="s">
        <v>12</v>
      </c>
      <c r="E636" s="2" t="s">
        <v>35</v>
      </c>
      <c r="F636" s="2" t="s">
        <v>105</v>
      </c>
      <c r="G636" s="3" t="s">
        <v>150</v>
      </c>
      <c r="H636" s="4">
        <v>42600</v>
      </c>
      <c r="I636" s="2" t="s">
        <v>38</v>
      </c>
      <c r="J636" s="2" t="s">
        <v>108</v>
      </c>
      <c r="K636" s="22">
        <f t="shared" si="9"/>
        <v>1</v>
      </c>
    </row>
    <row r="637" spans="1:11" x14ac:dyDescent="0.45">
      <c r="A637" s="5" t="s">
        <v>730</v>
      </c>
      <c r="B637" s="5">
        <v>7</v>
      </c>
      <c r="C637" s="5" t="s">
        <v>56</v>
      </c>
      <c r="D637" s="5" t="s">
        <v>41</v>
      </c>
      <c r="E637" s="5" t="s">
        <v>35</v>
      </c>
      <c r="F637" s="5" t="s">
        <v>75</v>
      </c>
      <c r="G637" s="6" t="s">
        <v>76</v>
      </c>
      <c r="H637" s="7">
        <v>600</v>
      </c>
      <c r="I637" s="5" t="s">
        <v>38</v>
      </c>
      <c r="J637" s="5"/>
      <c r="K637" s="22">
        <f t="shared" si="9"/>
        <v>0</v>
      </c>
    </row>
    <row r="638" spans="1:11" x14ac:dyDescent="0.45">
      <c r="A638" s="2" t="s">
        <v>731</v>
      </c>
      <c r="B638" s="2">
        <v>7</v>
      </c>
      <c r="C638" s="2" t="s">
        <v>56</v>
      </c>
      <c r="D638" s="2" t="s">
        <v>41</v>
      </c>
      <c r="E638" s="2" t="s">
        <v>35</v>
      </c>
      <c r="F638" s="2" t="s">
        <v>36</v>
      </c>
      <c r="G638" s="3" t="s">
        <v>126</v>
      </c>
      <c r="H638" s="4">
        <v>7300</v>
      </c>
      <c r="I638" s="2" t="s">
        <v>38</v>
      </c>
      <c r="J638" s="2"/>
      <c r="K638" s="22">
        <f t="shared" si="9"/>
        <v>0</v>
      </c>
    </row>
    <row r="639" spans="1:11" x14ac:dyDescent="0.45">
      <c r="A639" s="5" t="s">
        <v>732</v>
      </c>
      <c r="B639" s="5">
        <v>6</v>
      </c>
      <c r="C639" s="5" t="s">
        <v>78</v>
      </c>
      <c r="D639" s="5" t="s">
        <v>23</v>
      </c>
      <c r="E639" s="5" t="s">
        <v>35</v>
      </c>
      <c r="F639" s="5" t="s">
        <v>75</v>
      </c>
      <c r="G639" s="6" t="s">
        <v>179</v>
      </c>
      <c r="H639" s="7">
        <v>5100</v>
      </c>
      <c r="I639" s="5" t="s">
        <v>38</v>
      </c>
      <c r="J639" s="5"/>
      <c r="K639" s="22">
        <f t="shared" si="9"/>
        <v>0</v>
      </c>
    </row>
    <row r="640" spans="1:11" x14ac:dyDescent="0.45">
      <c r="A640" s="2" t="s">
        <v>733</v>
      </c>
      <c r="B640" s="2">
        <v>3</v>
      </c>
      <c r="C640" s="2" t="s">
        <v>18</v>
      </c>
      <c r="D640" s="2" t="s">
        <v>12</v>
      </c>
      <c r="E640" s="2" t="s">
        <v>13</v>
      </c>
      <c r="F640" s="2" t="s">
        <v>102</v>
      </c>
      <c r="G640" s="3" t="s">
        <v>103</v>
      </c>
      <c r="H640" s="4">
        <v>48600</v>
      </c>
      <c r="I640" s="2" t="s">
        <v>16</v>
      </c>
      <c r="J640" s="2"/>
      <c r="K640" s="22">
        <f t="shared" si="9"/>
        <v>0</v>
      </c>
    </row>
    <row r="641" spans="1:11" x14ac:dyDescent="0.45">
      <c r="A641" s="5" t="s">
        <v>734</v>
      </c>
      <c r="B641" s="5">
        <v>12</v>
      </c>
      <c r="C641" s="5" t="s">
        <v>34</v>
      </c>
      <c r="D641" s="5" t="s">
        <v>30</v>
      </c>
      <c r="E641" s="5" t="s">
        <v>13</v>
      </c>
      <c r="F641" s="5" t="s">
        <v>50</v>
      </c>
      <c r="G641" s="6" t="s">
        <v>51</v>
      </c>
      <c r="H641" s="7">
        <v>20100</v>
      </c>
      <c r="I641" s="5" t="s">
        <v>16</v>
      </c>
      <c r="J641" s="5"/>
      <c r="K641" s="22">
        <f t="shared" si="9"/>
        <v>0</v>
      </c>
    </row>
    <row r="642" spans="1:11" x14ac:dyDescent="0.45">
      <c r="A642" s="2" t="s">
        <v>735</v>
      </c>
      <c r="B642" s="2">
        <v>1</v>
      </c>
      <c r="C642" s="2" t="s">
        <v>66</v>
      </c>
      <c r="D642" s="2" t="s">
        <v>12</v>
      </c>
      <c r="E642" s="2" t="s">
        <v>57</v>
      </c>
      <c r="F642" s="2" t="s">
        <v>85</v>
      </c>
      <c r="G642" s="3" t="s">
        <v>129</v>
      </c>
      <c r="H642" s="4">
        <v>54800</v>
      </c>
      <c r="I642" s="2" t="s">
        <v>58</v>
      </c>
      <c r="J642" s="2"/>
      <c r="K642" s="22">
        <f t="shared" si="9"/>
        <v>0</v>
      </c>
    </row>
    <row r="643" spans="1:11" x14ac:dyDescent="0.45">
      <c r="A643" s="5" t="s">
        <v>736</v>
      </c>
      <c r="B643" s="5">
        <v>10</v>
      </c>
      <c r="C643" s="5" t="s">
        <v>40</v>
      </c>
      <c r="D643" s="5" t="s">
        <v>30</v>
      </c>
      <c r="E643" s="5" t="s">
        <v>57</v>
      </c>
      <c r="F643" s="5" t="s">
        <v>75</v>
      </c>
      <c r="G643" s="6" t="s">
        <v>76</v>
      </c>
      <c r="H643" s="7">
        <v>8700</v>
      </c>
      <c r="I643" s="5" t="s">
        <v>58</v>
      </c>
      <c r="J643" s="5"/>
      <c r="K643" s="22">
        <f t="shared" ref="K643:K706" si="10">IF(J643=$N$2,0,IF(J643=$N$3,1,IF(J643=$N$4,2)))</f>
        <v>0</v>
      </c>
    </row>
    <row r="644" spans="1:11" x14ac:dyDescent="0.45">
      <c r="A644" s="2" t="s">
        <v>737</v>
      </c>
      <c r="B644" s="2">
        <v>9</v>
      </c>
      <c r="C644" s="2" t="s">
        <v>40</v>
      </c>
      <c r="D644" s="2" t="s">
        <v>41</v>
      </c>
      <c r="E644" s="2" t="s">
        <v>71</v>
      </c>
      <c r="F644" s="2" t="s">
        <v>63</v>
      </c>
      <c r="G644" s="3" t="s">
        <v>97</v>
      </c>
      <c r="H644" s="4">
        <v>19600</v>
      </c>
      <c r="I644" s="2" t="s">
        <v>72</v>
      </c>
      <c r="J644" s="2"/>
      <c r="K644" s="22">
        <f t="shared" si="10"/>
        <v>0</v>
      </c>
    </row>
    <row r="645" spans="1:11" x14ac:dyDescent="0.45">
      <c r="A645" s="5" t="s">
        <v>738</v>
      </c>
      <c r="B645" s="5">
        <v>7</v>
      </c>
      <c r="C645" s="5" t="s">
        <v>56</v>
      </c>
      <c r="D645" s="5" t="s">
        <v>41</v>
      </c>
      <c r="E645" s="5" t="s">
        <v>35</v>
      </c>
      <c r="F645" s="5" t="s">
        <v>105</v>
      </c>
      <c r="G645" s="6" t="s">
        <v>106</v>
      </c>
      <c r="H645" s="7">
        <v>4400</v>
      </c>
      <c r="I645" s="5" t="s">
        <v>38</v>
      </c>
      <c r="J645" s="5"/>
      <c r="K645" s="22">
        <f t="shared" si="10"/>
        <v>0</v>
      </c>
    </row>
    <row r="646" spans="1:11" x14ac:dyDescent="0.45">
      <c r="A646" s="2" t="s">
        <v>739</v>
      </c>
      <c r="B646" s="2">
        <v>5</v>
      </c>
      <c r="C646" s="2" t="s">
        <v>22</v>
      </c>
      <c r="D646" s="2" t="s">
        <v>23</v>
      </c>
      <c r="E646" s="2" t="s">
        <v>19</v>
      </c>
      <c r="F646" s="2" t="s">
        <v>63</v>
      </c>
      <c r="G646" s="3" t="s">
        <v>97</v>
      </c>
      <c r="H646" s="4">
        <v>500</v>
      </c>
      <c r="I646" s="2" t="s">
        <v>20</v>
      </c>
      <c r="J646" s="2"/>
      <c r="K646" s="22">
        <f t="shared" si="10"/>
        <v>0</v>
      </c>
    </row>
    <row r="647" spans="1:11" x14ac:dyDescent="0.45">
      <c r="A647" s="5" t="s">
        <v>740</v>
      </c>
      <c r="B647" s="5">
        <v>6</v>
      </c>
      <c r="C647" s="5" t="s">
        <v>78</v>
      </c>
      <c r="D647" s="5" t="s">
        <v>23</v>
      </c>
      <c r="E647" s="5" t="s">
        <v>71</v>
      </c>
      <c r="F647" s="5" t="s">
        <v>88</v>
      </c>
      <c r="G647" s="6" t="s">
        <v>89</v>
      </c>
      <c r="H647" s="7">
        <v>52200</v>
      </c>
      <c r="I647" s="5" t="s">
        <v>72</v>
      </c>
      <c r="J647" s="5"/>
      <c r="K647" s="22">
        <f t="shared" si="10"/>
        <v>0</v>
      </c>
    </row>
    <row r="648" spans="1:11" x14ac:dyDescent="0.45">
      <c r="A648" s="2" t="s">
        <v>741</v>
      </c>
      <c r="B648" s="2">
        <v>2</v>
      </c>
      <c r="C648" s="2" t="s">
        <v>11</v>
      </c>
      <c r="D648" s="2" t="s">
        <v>12</v>
      </c>
      <c r="E648" s="2" t="s">
        <v>24</v>
      </c>
      <c r="F648" s="2" t="s">
        <v>44</v>
      </c>
      <c r="G648" s="3" t="s">
        <v>67</v>
      </c>
      <c r="H648" s="4">
        <v>8600</v>
      </c>
      <c r="I648" s="2" t="s">
        <v>27</v>
      </c>
      <c r="J648" s="2"/>
      <c r="K648" s="22">
        <f t="shared" si="10"/>
        <v>0</v>
      </c>
    </row>
    <row r="649" spans="1:11" x14ac:dyDescent="0.45">
      <c r="A649" s="5" t="s">
        <v>742</v>
      </c>
      <c r="B649" s="5">
        <v>1</v>
      </c>
      <c r="C649" s="5" t="s">
        <v>66</v>
      </c>
      <c r="D649" s="5" t="s">
        <v>12</v>
      </c>
      <c r="E649" s="5" t="s">
        <v>35</v>
      </c>
      <c r="F649" s="5" t="s">
        <v>75</v>
      </c>
      <c r="G649" s="6" t="s">
        <v>76</v>
      </c>
      <c r="H649" s="7">
        <v>5700</v>
      </c>
      <c r="I649" s="5" t="s">
        <v>38</v>
      </c>
      <c r="J649" s="5"/>
      <c r="K649" s="22">
        <f t="shared" si="10"/>
        <v>0</v>
      </c>
    </row>
    <row r="650" spans="1:11" x14ac:dyDescent="0.45">
      <c r="A650" s="2" t="s">
        <v>743</v>
      </c>
      <c r="B650" s="2">
        <v>4</v>
      </c>
      <c r="C650" s="2" t="s">
        <v>47</v>
      </c>
      <c r="D650" s="2" t="s">
        <v>23</v>
      </c>
      <c r="E650" s="2" t="s">
        <v>13</v>
      </c>
      <c r="F650" s="2" t="s">
        <v>102</v>
      </c>
      <c r="G650" s="3" t="s">
        <v>140</v>
      </c>
      <c r="H650" s="4">
        <v>34800</v>
      </c>
      <c r="I650" s="2" t="s">
        <v>16</v>
      </c>
      <c r="J650" s="2" t="s">
        <v>108</v>
      </c>
      <c r="K650" s="22">
        <f t="shared" si="10"/>
        <v>1</v>
      </c>
    </row>
    <row r="651" spans="1:11" x14ac:dyDescent="0.45">
      <c r="A651" s="5" t="s">
        <v>744</v>
      </c>
      <c r="B651" s="5">
        <v>4</v>
      </c>
      <c r="C651" s="5" t="s">
        <v>47</v>
      </c>
      <c r="D651" s="5" t="s">
        <v>23</v>
      </c>
      <c r="E651" s="5" t="s">
        <v>57</v>
      </c>
      <c r="F651" s="5" t="s">
        <v>85</v>
      </c>
      <c r="G651" s="6" t="s">
        <v>86</v>
      </c>
      <c r="H651" s="7">
        <v>8300</v>
      </c>
      <c r="I651" s="5" t="s">
        <v>58</v>
      </c>
      <c r="J651" s="5"/>
      <c r="K651" s="22">
        <f t="shared" si="10"/>
        <v>0</v>
      </c>
    </row>
    <row r="652" spans="1:11" x14ac:dyDescent="0.45">
      <c r="A652" s="2" t="s">
        <v>745</v>
      </c>
      <c r="B652" s="2">
        <v>8</v>
      </c>
      <c r="C652" s="2" t="s">
        <v>60</v>
      </c>
      <c r="D652" s="2" t="s">
        <v>41</v>
      </c>
      <c r="E652" s="2" t="s">
        <v>24</v>
      </c>
      <c r="F652" s="2" t="s">
        <v>44</v>
      </c>
      <c r="G652" s="3" t="s">
        <v>45</v>
      </c>
      <c r="H652" s="4">
        <v>1300</v>
      </c>
      <c r="I652" s="2" t="s">
        <v>27</v>
      </c>
      <c r="J652" s="2"/>
      <c r="K652" s="22">
        <f t="shared" si="10"/>
        <v>0</v>
      </c>
    </row>
    <row r="653" spans="1:11" x14ac:dyDescent="0.45">
      <c r="A653" s="5" t="s">
        <v>746</v>
      </c>
      <c r="B653" s="5">
        <v>12</v>
      </c>
      <c r="C653" s="5" t="s">
        <v>34</v>
      </c>
      <c r="D653" s="5" t="s">
        <v>30</v>
      </c>
      <c r="E653" s="5" t="s">
        <v>35</v>
      </c>
      <c r="F653" s="5" t="s">
        <v>105</v>
      </c>
      <c r="G653" s="6" t="s">
        <v>106</v>
      </c>
      <c r="H653" s="7">
        <v>3100</v>
      </c>
      <c r="I653" s="5" t="s">
        <v>38</v>
      </c>
      <c r="J653" s="5" t="s">
        <v>108</v>
      </c>
      <c r="K653" s="22">
        <f t="shared" si="10"/>
        <v>1</v>
      </c>
    </row>
    <row r="654" spans="1:11" x14ac:dyDescent="0.45">
      <c r="A654" s="2" t="s">
        <v>747</v>
      </c>
      <c r="B654" s="2">
        <v>11</v>
      </c>
      <c r="C654" s="2" t="s">
        <v>29</v>
      </c>
      <c r="D654" s="2" t="s">
        <v>30</v>
      </c>
      <c r="E654" s="2" t="s">
        <v>13</v>
      </c>
      <c r="F654" s="2" t="s">
        <v>102</v>
      </c>
      <c r="G654" s="3" t="s">
        <v>103</v>
      </c>
      <c r="H654" s="4">
        <v>800</v>
      </c>
      <c r="I654" s="2" t="s">
        <v>16</v>
      </c>
      <c r="J654" s="2"/>
      <c r="K654" s="22">
        <f t="shared" si="10"/>
        <v>0</v>
      </c>
    </row>
    <row r="655" spans="1:11" x14ac:dyDescent="0.45">
      <c r="A655" s="5" t="s">
        <v>748</v>
      </c>
      <c r="B655" s="5">
        <v>4</v>
      </c>
      <c r="C655" s="5" t="s">
        <v>47</v>
      </c>
      <c r="D655" s="5" t="s">
        <v>23</v>
      </c>
      <c r="E655" s="5" t="s">
        <v>24</v>
      </c>
      <c r="F655" s="5" t="s">
        <v>14</v>
      </c>
      <c r="G655" s="6" t="s">
        <v>42</v>
      </c>
      <c r="H655" s="7">
        <v>28100</v>
      </c>
      <c r="I655" s="5" t="s">
        <v>27</v>
      </c>
      <c r="J655" s="5"/>
      <c r="K655" s="22">
        <f t="shared" si="10"/>
        <v>0</v>
      </c>
    </row>
    <row r="656" spans="1:11" x14ac:dyDescent="0.45">
      <c r="A656" s="2" t="s">
        <v>749</v>
      </c>
      <c r="B656" s="2">
        <v>9</v>
      </c>
      <c r="C656" s="2" t="s">
        <v>40</v>
      </c>
      <c r="D656" s="2" t="s">
        <v>41</v>
      </c>
      <c r="E656" s="2" t="s">
        <v>24</v>
      </c>
      <c r="F656" s="2" t="s">
        <v>14</v>
      </c>
      <c r="G656" s="3" t="s">
        <v>42</v>
      </c>
      <c r="H656" s="4">
        <v>74300</v>
      </c>
      <c r="I656" s="2" t="s">
        <v>27</v>
      </c>
      <c r="J656" s="2"/>
      <c r="K656" s="22">
        <f t="shared" si="10"/>
        <v>0</v>
      </c>
    </row>
    <row r="657" spans="1:11" x14ac:dyDescent="0.45">
      <c r="A657" s="5" t="s">
        <v>750</v>
      </c>
      <c r="B657" s="5">
        <v>9</v>
      </c>
      <c r="C657" s="5" t="s">
        <v>40</v>
      </c>
      <c r="D657" s="5" t="s">
        <v>41</v>
      </c>
      <c r="E657" s="5" t="s">
        <v>35</v>
      </c>
      <c r="F657" s="5" t="s">
        <v>105</v>
      </c>
      <c r="G657" s="6" t="s">
        <v>133</v>
      </c>
      <c r="H657" s="7">
        <v>800</v>
      </c>
      <c r="I657" s="5" t="s">
        <v>38</v>
      </c>
      <c r="J657" s="5"/>
      <c r="K657" s="22">
        <f t="shared" si="10"/>
        <v>0</v>
      </c>
    </row>
    <row r="658" spans="1:11" x14ac:dyDescent="0.45">
      <c r="A658" s="2" t="s">
        <v>751</v>
      </c>
      <c r="B658" s="2">
        <v>2</v>
      </c>
      <c r="C658" s="2" t="s">
        <v>11</v>
      </c>
      <c r="D658" s="2" t="s">
        <v>12</v>
      </c>
      <c r="E658" s="2" t="s">
        <v>19</v>
      </c>
      <c r="F658" s="2" t="s">
        <v>31</v>
      </c>
      <c r="G658" s="3" t="s">
        <v>32</v>
      </c>
      <c r="H658" s="4">
        <v>9100</v>
      </c>
      <c r="I658" s="2" t="s">
        <v>20</v>
      </c>
      <c r="J658" s="2"/>
      <c r="K658" s="22">
        <f t="shared" si="10"/>
        <v>0</v>
      </c>
    </row>
    <row r="659" spans="1:11" x14ac:dyDescent="0.45">
      <c r="A659" s="5" t="s">
        <v>752</v>
      </c>
      <c r="B659" s="5">
        <v>12</v>
      </c>
      <c r="C659" s="5" t="s">
        <v>34</v>
      </c>
      <c r="D659" s="5" t="s">
        <v>30</v>
      </c>
      <c r="E659" s="5" t="s">
        <v>57</v>
      </c>
      <c r="F659" s="5" t="s">
        <v>14</v>
      </c>
      <c r="G659" s="6" t="s">
        <v>42</v>
      </c>
      <c r="H659" s="7">
        <v>216100</v>
      </c>
      <c r="I659" s="5" t="s">
        <v>58</v>
      </c>
      <c r="J659" s="5"/>
      <c r="K659" s="22">
        <f t="shared" si="10"/>
        <v>0</v>
      </c>
    </row>
    <row r="660" spans="1:11" x14ac:dyDescent="0.45">
      <c r="A660" s="2" t="s">
        <v>753</v>
      </c>
      <c r="B660" s="2">
        <v>4</v>
      </c>
      <c r="C660" s="2" t="s">
        <v>47</v>
      </c>
      <c r="D660" s="2" t="s">
        <v>23</v>
      </c>
      <c r="E660" s="2" t="s">
        <v>35</v>
      </c>
      <c r="F660" s="2" t="s">
        <v>75</v>
      </c>
      <c r="G660" s="3" t="s">
        <v>83</v>
      </c>
      <c r="H660" s="4">
        <v>4600</v>
      </c>
      <c r="I660" s="2" t="s">
        <v>38</v>
      </c>
      <c r="J660" s="2"/>
      <c r="K660" s="22">
        <f t="shared" si="10"/>
        <v>0</v>
      </c>
    </row>
    <row r="661" spans="1:11" x14ac:dyDescent="0.45">
      <c r="A661" s="5" t="s">
        <v>754</v>
      </c>
      <c r="B661" s="5">
        <v>12</v>
      </c>
      <c r="C661" s="5" t="s">
        <v>34</v>
      </c>
      <c r="D661" s="5" t="s">
        <v>30</v>
      </c>
      <c r="E661" s="5" t="s">
        <v>24</v>
      </c>
      <c r="F661" s="5" t="s">
        <v>36</v>
      </c>
      <c r="G661" s="6" t="s">
        <v>37</v>
      </c>
      <c r="H661" s="7">
        <v>47200</v>
      </c>
      <c r="I661" s="5" t="s">
        <v>27</v>
      </c>
      <c r="J661" s="5"/>
      <c r="K661" s="22">
        <f t="shared" si="10"/>
        <v>0</v>
      </c>
    </row>
    <row r="662" spans="1:11" x14ac:dyDescent="0.45">
      <c r="A662" s="2" t="s">
        <v>755</v>
      </c>
      <c r="B662" s="2">
        <v>4</v>
      </c>
      <c r="C662" s="2" t="s">
        <v>47</v>
      </c>
      <c r="D662" s="2" t="s">
        <v>23</v>
      </c>
      <c r="E662" s="2" t="s">
        <v>35</v>
      </c>
      <c r="F662" s="2" t="s">
        <v>75</v>
      </c>
      <c r="G662" s="3" t="s">
        <v>76</v>
      </c>
      <c r="H662" s="4">
        <v>1500</v>
      </c>
      <c r="I662" s="2" t="s">
        <v>38</v>
      </c>
      <c r="J662" s="2"/>
      <c r="K662" s="22">
        <f t="shared" si="10"/>
        <v>0</v>
      </c>
    </row>
    <row r="663" spans="1:11" x14ac:dyDescent="0.45">
      <c r="A663" s="5" t="s">
        <v>756</v>
      </c>
      <c r="B663" s="5">
        <v>8</v>
      </c>
      <c r="C663" s="5" t="s">
        <v>60</v>
      </c>
      <c r="D663" s="5" t="s">
        <v>41</v>
      </c>
      <c r="E663" s="5" t="s">
        <v>19</v>
      </c>
      <c r="F663" s="5" t="s">
        <v>63</v>
      </c>
      <c r="G663" s="6" t="s">
        <v>97</v>
      </c>
      <c r="H663" s="7">
        <v>1900</v>
      </c>
      <c r="I663" s="5" t="s">
        <v>20</v>
      </c>
      <c r="J663" s="5"/>
      <c r="K663" s="22">
        <f t="shared" si="10"/>
        <v>0</v>
      </c>
    </row>
    <row r="664" spans="1:11" x14ac:dyDescent="0.45">
      <c r="A664" s="2" t="s">
        <v>757</v>
      </c>
      <c r="B664" s="2">
        <v>3</v>
      </c>
      <c r="C664" s="2" t="s">
        <v>18</v>
      </c>
      <c r="D664" s="2" t="s">
        <v>12</v>
      </c>
      <c r="E664" s="2" t="s">
        <v>35</v>
      </c>
      <c r="F664" s="2" t="s">
        <v>36</v>
      </c>
      <c r="G664" s="3" t="s">
        <v>37</v>
      </c>
      <c r="H664" s="4">
        <v>13400</v>
      </c>
      <c r="I664" s="2" t="s">
        <v>38</v>
      </c>
      <c r="J664" s="2"/>
      <c r="K664" s="22">
        <f t="shared" si="10"/>
        <v>0</v>
      </c>
    </row>
    <row r="665" spans="1:11" x14ac:dyDescent="0.45">
      <c r="A665" s="5" t="s">
        <v>758</v>
      </c>
      <c r="B665" s="5">
        <v>3</v>
      </c>
      <c r="C665" s="5" t="s">
        <v>18</v>
      </c>
      <c r="D665" s="5" t="s">
        <v>12</v>
      </c>
      <c r="E665" s="5" t="s">
        <v>71</v>
      </c>
      <c r="F665" s="5" t="s">
        <v>94</v>
      </c>
      <c r="G665" s="6" t="s">
        <v>95</v>
      </c>
      <c r="H665" s="7">
        <v>15800</v>
      </c>
      <c r="I665" s="5" t="s">
        <v>72</v>
      </c>
      <c r="J665" s="5"/>
      <c r="K665" s="22">
        <f t="shared" si="10"/>
        <v>0</v>
      </c>
    </row>
    <row r="666" spans="1:11" x14ac:dyDescent="0.45">
      <c r="A666" s="2" t="s">
        <v>759</v>
      </c>
      <c r="B666" s="2">
        <v>7</v>
      </c>
      <c r="C666" s="2" t="s">
        <v>56</v>
      </c>
      <c r="D666" s="2" t="s">
        <v>41</v>
      </c>
      <c r="E666" s="2" t="s">
        <v>35</v>
      </c>
      <c r="F666" s="2" t="s">
        <v>75</v>
      </c>
      <c r="G666" s="3" t="s">
        <v>179</v>
      </c>
      <c r="H666" s="4">
        <v>12600</v>
      </c>
      <c r="I666" s="2" t="s">
        <v>38</v>
      </c>
      <c r="J666" s="2"/>
      <c r="K666" s="22">
        <f t="shared" si="10"/>
        <v>0</v>
      </c>
    </row>
    <row r="667" spans="1:11" x14ac:dyDescent="0.45">
      <c r="A667" s="5" t="s">
        <v>760</v>
      </c>
      <c r="B667" s="5">
        <v>4</v>
      </c>
      <c r="C667" s="5" t="s">
        <v>47</v>
      </c>
      <c r="D667" s="5" t="s">
        <v>23</v>
      </c>
      <c r="E667" s="5" t="s">
        <v>19</v>
      </c>
      <c r="F667" s="5" t="s">
        <v>31</v>
      </c>
      <c r="G667" s="6" t="s">
        <v>81</v>
      </c>
      <c r="H667" s="7">
        <v>1300</v>
      </c>
      <c r="I667" s="5" t="s">
        <v>20</v>
      </c>
      <c r="J667" s="5"/>
      <c r="K667" s="22">
        <f t="shared" si="10"/>
        <v>0</v>
      </c>
    </row>
    <row r="668" spans="1:11" x14ac:dyDescent="0.45">
      <c r="A668" s="2" t="s">
        <v>761</v>
      </c>
      <c r="B668" s="2">
        <v>7</v>
      </c>
      <c r="C668" s="2" t="s">
        <v>56</v>
      </c>
      <c r="D668" s="2" t="s">
        <v>41</v>
      </c>
      <c r="E668" s="2" t="s">
        <v>13</v>
      </c>
      <c r="F668" s="2" t="s">
        <v>63</v>
      </c>
      <c r="G668" s="3" t="s">
        <v>97</v>
      </c>
      <c r="H668" s="4">
        <v>5900</v>
      </c>
      <c r="I668" s="2" t="s">
        <v>16</v>
      </c>
      <c r="J668" s="2"/>
      <c r="K668" s="22">
        <f t="shared" si="10"/>
        <v>0</v>
      </c>
    </row>
    <row r="669" spans="1:11" x14ac:dyDescent="0.45">
      <c r="A669" s="5" t="s">
        <v>762</v>
      </c>
      <c r="B669" s="5">
        <v>5</v>
      </c>
      <c r="C669" s="5" t="s">
        <v>22</v>
      </c>
      <c r="D669" s="5" t="s">
        <v>23</v>
      </c>
      <c r="E669" s="5" t="s">
        <v>71</v>
      </c>
      <c r="F669" s="5" t="s">
        <v>63</v>
      </c>
      <c r="G669" s="6" t="s">
        <v>97</v>
      </c>
      <c r="H669" s="7">
        <v>3100</v>
      </c>
      <c r="I669" s="5" t="s">
        <v>72</v>
      </c>
      <c r="J669" s="5"/>
      <c r="K669" s="22">
        <f t="shared" si="10"/>
        <v>0</v>
      </c>
    </row>
    <row r="670" spans="1:11" x14ac:dyDescent="0.45">
      <c r="A670" s="2" t="s">
        <v>763</v>
      </c>
      <c r="B670" s="2">
        <v>2</v>
      </c>
      <c r="C670" s="2" t="s">
        <v>11</v>
      </c>
      <c r="D670" s="2" t="s">
        <v>12</v>
      </c>
      <c r="E670" s="2" t="s">
        <v>57</v>
      </c>
      <c r="F670" s="2" t="s">
        <v>63</v>
      </c>
      <c r="G670" s="3" t="s">
        <v>97</v>
      </c>
      <c r="H670" s="4">
        <v>10900</v>
      </c>
      <c r="I670" s="2" t="s">
        <v>58</v>
      </c>
      <c r="J670" s="2"/>
      <c r="K670" s="22">
        <f t="shared" si="10"/>
        <v>0</v>
      </c>
    </row>
    <row r="671" spans="1:11" x14ac:dyDescent="0.45">
      <c r="A671" s="5" t="s">
        <v>764</v>
      </c>
      <c r="B671" s="5">
        <v>10</v>
      </c>
      <c r="C671" s="5" t="s">
        <v>40</v>
      </c>
      <c r="D671" s="5" t="s">
        <v>30</v>
      </c>
      <c r="E671" s="5" t="s">
        <v>24</v>
      </c>
      <c r="F671" s="5" t="s">
        <v>14</v>
      </c>
      <c r="G671" s="6" t="s">
        <v>48</v>
      </c>
      <c r="H671" s="7">
        <v>239300</v>
      </c>
      <c r="I671" s="5" t="s">
        <v>27</v>
      </c>
      <c r="J671" s="5"/>
      <c r="K671" s="22">
        <f t="shared" si="10"/>
        <v>0</v>
      </c>
    </row>
    <row r="672" spans="1:11" x14ac:dyDescent="0.45">
      <c r="A672" s="2" t="s">
        <v>765</v>
      </c>
      <c r="B672" s="2">
        <v>1</v>
      </c>
      <c r="C672" s="2" t="s">
        <v>66</v>
      </c>
      <c r="D672" s="2" t="s">
        <v>12</v>
      </c>
      <c r="E672" s="2" t="s">
        <v>19</v>
      </c>
      <c r="F672" s="2" t="s">
        <v>31</v>
      </c>
      <c r="G672" s="3" t="s">
        <v>32</v>
      </c>
      <c r="H672" s="4">
        <v>16700</v>
      </c>
      <c r="I672" s="2" t="s">
        <v>20</v>
      </c>
      <c r="J672" s="2"/>
      <c r="K672" s="22">
        <f t="shared" si="10"/>
        <v>0</v>
      </c>
    </row>
    <row r="673" spans="1:11" x14ac:dyDescent="0.45">
      <c r="A673" s="5" t="s">
        <v>766</v>
      </c>
      <c r="B673" s="5">
        <v>5</v>
      </c>
      <c r="C673" s="5" t="s">
        <v>22</v>
      </c>
      <c r="D673" s="5" t="s">
        <v>23</v>
      </c>
      <c r="E673" s="5" t="s">
        <v>57</v>
      </c>
      <c r="F673" s="5" t="s">
        <v>75</v>
      </c>
      <c r="G673" s="6" t="s">
        <v>76</v>
      </c>
      <c r="H673" s="7">
        <v>5900</v>
      </c>
      <c r="I673" s="5" t="s">
        <v>58</v>
      </c>
      <c r="J673" s="5"/>
      <c r="K673" s="22">
        <f t="shared" si="10"/>
        <v>0</v>
      </c>
    </row>
    <row r="674" spans="1:11" x14ac:dyDescent="0.45">
      <c r="A674" s="2" t="s">
        <v>767</v>
      </c>
      <c r="B674" s="2">
        <v>3</v>
      </c>
      <c r="C674" s="2" t="s">
        <v>18</v>
      </c>
      <c r="D674" s="2" t="s">
        <v>12</v>
      </c>
      <c r="E674" s="2" t="s">
        <v>57</v>
      </c>
      <c r="F674" s="2" t="s">
        <v>75</v>
      </c>
      <c r="G674" s="3" t="s">
        <v>179</v>
      </c>
      <c r="H674" s="4">
        <v>9300</v>
      </c>
      <c r="I674" s="2" t="s">
        <v>58</v>
      </c>
      <c r="J674" s="2"/>
      <c r="K674" s="22">
        <f t="shared" si="10"/>
        <v>0</v>
      </c>
    </row>
    <row r="675" spans="1:11" x14ac:dyDescent="0.45">
      <c r="A675" s="5" t="s">
        <v>768</v>
      </c>
      <c r="B675" s="5">
        <v>5</v>
      </c>
      <c r="C675" s="5" t="s">
        <v>22</v>
      </c>
      <c r="D675" s="5" t="s">
        <v>23</v>
      </c>
      <c r="E675" s="5" t="s">
        <v>71</v>
      </c>
      <c r="F675" s="5" t="s">
        <v>88</v>
      </c>
      <c r="G675" s="6" t="s">
        <v>89</v>
      </c>
      <c r="H675" s="7">
        <v>98200</v>
      </c>
      <c r="I675" s="5" t="s">
        <v>72</v>
      </c>
      <c r="J675" s="5"/>
      <c r="K675" s="22">
        <f t="shared" si="10"/>
        <v>0</v>
      </c>
    </row>
    <row r="676" spans="1:11" x14ac:dyDescent="0.45">
      <c r="A676" s="2" t="s">
        <v>769</v>
      </c>
      <c r="B676" s="2">
        <v>6</v>
      </c>
      <c r="C676" s="2" t="s">
        <v>78</v>
      </c>
      <c r="D676" s="2" t="s">
        <v>23</v>
      </c>
      <c r="E676" s="2" t="s">
        <v>35</v>
      </c>
      <c r="F676" s="2" t="s">
        <v>14</v>
      </c>
      <c r="G676" s="3" t="s">
        <v>15</v>
      </c>
      <c r="H676" s="4">
        <v>8200</v>
      </c>
      <c r="I676" s="2" t="s">
        <v>38</v>
      </c>
      <c r="J676" s="2"/>
      <c r="K676" s="22">
        <f t="shared" si="10"/>
        <v>0</v>
      </c>
    </row>
    <row r="677" spans="1:11" x14ac:dyDescent="0.45">
      <c r="A677" s="5" t="s">
        <v>770</v>
      </c>
      <c r="B677" s="5">
        <v>6</v>
      </c>
      <c r="C677" s="5" t="s">
        <v>78</v>
      </c>
      <c r="D677" s="5" t="s">
        <v>23</v>
      </c>
      <c r="E677" s="5" t="s">
        <v>24</v>
      </c>
      <c r="F677" s="5" t="s">
        <v>25</v>
      </c>
      <c r="G677" s="6" t="s">
        <v>26</v>
      </c>
      <c r="H677" s="7">
        <v>41100</v>
      </c>
      <c r="I677" s="5" t="s">
        <v>27</v>
      </c>
      <c r="J677" s="5"/>
      <c r="K677" s="22">
        <f t="shared" si="10"/>
        <v>0</v>
      </c>
    </row>
    <row r="678" spans="1:11" x14ac:dyDescent="0.45">
      <c r="A678" s="2" t="s">
        <v>771</v>
      </c>
      <c r="B678" s="2">
        <v>8</v>
      </c>
      <c r="C678" s="2" t="s">
        <v>60</v>
      </c>
      <c r="D678" s="2" t="s">
        <v>41</v>
      </c>
      <c r="E678" s="2" t="s">
        <v>35</v>
      </c>
      <c r="F678" s="2" t="s">
        <v>14</v>
      </c>
      <c r="G678" s="3" t="s">
        <v>42</v>
      </c>
      <c r="H678" s="4">
        <v>38600</v>
      </c>
      <c r="I678" s="2" t="s">
        <v>38</v>
      </c>
      <c r="J678" s="2"/>
      <c r="K678" s="22">
        <f t="shared" si="10"/>
        <v>0</v>
      </c>
    </row>
    <row r="679" spans="1:11" x14ac:dyDescent="0.45">
      <c r="A679" s="5" t="s">
        <v>772</v>
      </c>
      <c r="B679" s="5">
        <v>9</v>
      </c>
      <c r="C679" s="5" t="s">
        <v>40</v>
      </c>
      <c r="D679" s="5" t="s">
        <v>41</v>
      </c>
      <c r="E679" s="5" t="s">
        <v>57</v>
      </c>
      <c r="F679" s="5" t="s">
        <v>63</v>
      </c>
      <c r="G679" s="6" t="s">
        <v>64</v>
      </c>
      <c r="H679" s="7">
        <v>9100</v>
      </c>
      <c r="I679" s="5" t="s">
        <v>58</v>
      </c>
      <c r="J679" s="5"/>
      <c r="K679" s="22">
        <f t="shared" si="10"/>
        <v>0</v>
      </c>
    </row>
    <row r="680" spans="1:11" x14ac:dyDescent="0.45">
      <c r="A680" s="2" t="s">
        <v>773</v>
      </c>
      <c r="B680" s="2">
        <v>2</v>
      </c>
      <c r="C680" s="2" t="s">
        <v>11</v>
      </c>
      <c r="D680" s="2" t="s">
        <v>12</v>
      </c>
      <c r="E680" s="2" t="s">
        <v>35</v>
      </c>
      <c r="F680" s="2" t="s">
        <v>105</v>
      </c>
      <c r="G680" s="3" t="s">
        <v>150</v>
      </c>
      <c r="H680" s="4">
        <v>17200</v>
      </c>
      <c r="I680" s="2" t="s">
        <v>38</v>
      </c>
      <c r="J680" s="2"/>
      <c r="K680" s="22">
        <f t="shared" si="10"/>
        <v>0</v>
      </c>
    </row>
    <row r="681" spans="1:11" x14ac:dyDescent="0.45">
      <c r="A681" s="5" t="s">
        <v>774</v>
      </c>
      <c r="B681" s="5">
        <v>5</v>
      </c>
      <c r="C681" s="5" t="s">
        <v>22</v>
      </c>
      <c r="D681" s="5" t="s">
        <v>23</v>
      </c>
      <c r="E681" s="5" t="s">
        <v>57</v>
      </c>
      <c r="F681" s="5" t="s">
        <v>14</v>
      </c>
      <c r="G681" s="6" t="s">
        <v>42</v>
      </c>
      <c r="H681" s="7">
        <v>99400</v>
      </c>
      <c r="I681" s="5" t="s">
        <v>58</v>
      </c>
      <c r="J681" s="5"/>
      <c r="K681" s="22">
        <f t="shared" si="10"/>
        <v>0</v>
      </c>
    </row>
    <row r="682" spans="1:11" x14ac:dyDescent="0.45">
      <c r="A682" s="2" t="s">
        <v>775</v>
      </c>
      <c r="B682" s="2">
        <v>4</v>
      </c>
      <c r="C682" s="2" t="s">
        <v>47</v>
      </c>
      <c r="D682" s="2" t="s">
        <v>23</v>
      </c>
      <c r="E682" s="2" t="s">
        <v>71</v>
      </c>
      <c r="F682" s="2" t="s">
        <v>14</v>
      </c>
      <c r="G682" s="3" t="s">
        <v>42</v>
      </c>
      <c r="H682" s="4">
        <v>167000</v>
      </c>
      <c r="I682" s="2" t="s">
        <v>72</v>
      </c>
      <c r="J682" s="2"/>
      <c r="K682" s="22">
        <f t="shared" si="10"/>
        <v>0</v>
      </c>
    </row>
    <row r="683" spans="1:11" x14ac:dyDescent="0.45">
      <c r="A683" s="5" t="s">
        <v>776</v>
      </c>
      <c r="B683" s="5">
        <v>8</v>
      </c>
      <c r="C683" s="5" t="s">
        <v>60</v>
      </c>
      <c r="D683" s="5" t="s">
        <v>41</v>
      </c>
      <c r="E683" s="5" t="s">
        <v>71</v>
      </c>
      <c r="F683" s="5" t="s">
        <v>94</v>
      </c>
      <c r="G683" s="6" t="s">
        <v>95</v>
      </c>
      <c r="H683" s="7">
        <v>2800</v>
      </c>
      <c r="I683" s="5" t="s">
        <v>72</v>
      </c>
      <c r="J683" s="5"/>
      <c r="K683" s="22">
        <f t="shared" si="10"/>
        <v>0</v>
      </c>
    </row>
    <row r="684" spans="1:11" x14ac:dyDescent="0.45">
      <c r="A684" s="2" t="s">
        <v>777</v>
      </c>
      <c r="B684" s="2">
        <v>5</v>
      </c>
      <c r="C684" s="2" t="s">
        <v>22</v>
      </c>
      <c r="D684" s="2" t="s">
        <v>23</v>
      </c>
      <c r="E684" s="2" t="s">
        <v>71</v>
      </c>
      <c r="F684" s="2" t="s">
        <v>63</v>
      </c>
      <c r="G684" s="3" t="s">
        <v>64</v>
      </c>
      <c r="H684" s="4">
        <v>2100</v>
      </c>
      <c r="I684" s="2" t="s">
        <v>72</v>
      </c>
      <c r="J684" s="2"/>
      <c r="K684" s="22">
        <f t="shared" si="10"/>
        <v>0</v>
      </c>
    </row>
    <row r="685" spans="1:11" x14ac:dyDescent="0.45">
      <c r="A685" s="5" t="s">
        <v>778</v>
      </c>
      <c r="B685" s="5">
        <v>12</v>
      </c>
      <c r="C685" s="5" t="s">
        <v>34</v>
      </c>
      <c r="D685" s="5" t="s">
        <v>30</v>
      </c>
      <c r="E685" s="5" t="s">
        <v>19</v>
      </c>
      <c r="F685" s="5" t="s">
        <v>14</v>
      </c>
      <c r="G685" s="6" t="s">
        <v>42</v>
      </c>
      <c r="H685" s="7">
        <v>97700</v>
      </c>
      <c r="I685" s="5" t="s">
        <v>20</v>
      </c>
      <c r="J685" s="5"/>
      <c r="K685" s="22">
        <f t="shared" si="10"/>
        <v>0</v>
      </c>
    </row>
    <row r="686" spans="1:11" x14ac:dyDescent="0.45">
      <c r="A686" s="2" t="s">
        <v>779</v>
      </c>
      <c r="B686" s="2">
        <v>5</v>
      </c>
      <c r="C686" s="2" t="s">
        <v>22</v>
      </c>
      <c r="D686" s="2" t="s">
        <v>23</v>
      </c>
      <c r="E686" s="2" t="s">
        <v>24</v>
      </c>
      <c r="F686" s="2" t="s">
        <v>44</v>
      </c>
      <c r="G686" s="3" t="s">
        <v>45</v>
      </c>
      <c r="H686" s="4">
        <v>11000</v>
      </c>
      <c r="I686" s="2" t="s">
        <v>27</v>
      </c>
      <c r="J686" s="2"/>
      <c r="K686" s="22">
        <f t="shared" si="10"/>
        <v>0</v>
      </c>
    </row>
    <row r="687" spans="1:11" x14ac:dyDescent="0.45">
      <c r="A687" s="5" t="s">
        <v>780</v>
      </c>
      <c r="B687" s="5">
        <v>7</v>
      </c>
      <c r="C687" s="5" t="s">
        <v>56</v>
      </c>
      <c r="D687" s="5" t="s">
        <v>41</v>
      </c>
      <c r="E687" s="5" t="s">
        <v>71</v>
      </c>
      <c r="F687" s="5" t="s">
        <v>94</v>
      </c>
      <c r="G687" s="6" t="s">
        <v>157</v>
      </c>
      <c r="H687" s="7">
        <v>27800</v>
      </c>
      <c r="I687" s="5" t="s">
        <v>72</v>
      </c>
      <c r="J687" s="5"/>
      <c r="K687" s="22">
        <f t="shared" si="10"/>
        <v>0</v>
      </c>
    </row>
    <row r="688" spans="1:11" x14ac:dyDescent="0.45">
      <c r="A688" s="2" t="s">
        <v>781</v>
      </c>
      <c r="B688" s="2">
        <v>10</v>
      </c>
      <c r="C688" s="2" t="s">
        <v>40</v>
      </c>
      <c r="D688" s="2" t="s">
        <v>30</v>
      </c>
      <c r="E688" s="2" t="s">
        <v>71</v>
      </c>
      <c r="F688" s="2" t="s">
        <v>88</v>
      </c>
      <c r="G688" s="3" t="s">
        <v>89</v>
      </c>
      <c r="H688" s="4">
        <v>135800</v>
      </c>
      <c r="I688" s="2" t="s">
        <v>72</v>
      </c>
      <c r="J688" s="2" t="s">
        <v>108</v>
      </c>
      <c r="K688" s="22">
        <f t="shared" si="10"/>
        <v>1</v>
      </c>
    </row>
    <row r="689" spans="1:11" x14ac:dyDescent="0.45">
      <c r="A689" s="5" t="s">
        <v>782</v>
      </c>
      <c r="B689" s="5">
        <v>12</v>
      </c>
      <c r="C689" s="5" t="s">
        <v>34</v>
      </c>
      <c r="D689" s="5" t="s">
        <v>30</v>
      </c>
      <c r="E689" s="5" t="s">
        <v>24</v>
      </c>
      <c r="F689" s="5" t="s">
        <v>14</v>
      </c>
      <c r="G689" s="6" t="s">
        <v>48</v>
      </c>
      <c r="H689" s="7">
        <v>308900</v>
      </c>
      <c r="I689" s="5" t="s">
        <v>27</v>
      </c>
      <c r="J689" s="5"/>
      <c r="K689" s="22">
        <f t="shared" si="10"/>
        <v>0</v>
      </c>
    </row>
    <row r="690" spans="1:11" x14ac:dyDescent="0.45">
      <c r="A690" s="2" t="s">
        <v>783</v>
      </c>
      <c r="B690" s="2">
        <v>5</v>
      </c>
      <c r="C690" s="2" t="s">
        <v>22</v>
      </c>
      <c r="D690" s="2" t="s">
        <v>23</v>
      </c>
      <c r="E690" s="2" t="s">
        <v>57</v>
      </c>
      <c r="F690" s="2" t="s">
        <v>63</v>
      </c>
      <c r="G690" s="3" t="s">
        <v>97</v>
      </c>
      <c r="H690" s="4">
        <v>3400</v>
      </c>
      <c r="I690" s="2" t="s">
        <v>58</v>
      </c>
      <c r="J690" s="2"/>
      <c r="K690" s="22">
        <f t="shared" si="10"/>
        <v>0</v>
      </c>
    </row>
    <row r="691" spans="1:11" x14ac:dyDescent="0.45">
      <c r="A691" s="5" t="s">
        <v>784</v>
      </c>
      <c r="B691" s="5">
        <v>4</v>
      </c>
      <c r="C691" s="5" t="s">
        <v>47</v>
      </c>
      <c r="D691" s="5" t="s">
        <v>23</v>
      </c>
      <c r="E691" s="5" t="s">
        <v>57</v>
      </c>
      <c r="F691" s="5" t="s">
        <v>85</v>
      </c>
      <c r="G691" s="6" t="s">
        <v>86</v>
      </c>
      <c r="H691" s="7">
        <v>21300</v>
      </c>
      <c r="I691" s="5" t="s">
        <v>58</v>
      </c>
      <c r="J691" s="5"/>
      <c r="K691" s="22">
        <f t="shared" si="10"/>
        <v>0</v>
      </c>
    </row>
    <row r="692" spans="1:11" x14ac:dyDescent="0.45">
      <c r="A692" s="2" t="s">
        <v>785</v>
      </c>
      <c r="B692" s="2">
        <v>5</v>
      </c>
      <c r="C692" s="2" t="s">
        <v>22</v>
      </c>
      <c r="D692" s="2" t="s">
        <v>23</v>
      </c>
      <c r="E692" s="2" t="s">
        <v>13</v>
      </c>
      <c r="F692" s="2" t="s">
        <v>14</v>
      </c>
      <c r="G692" s="3" t="s">
        <v>48</v>
      </c>
      <c r="H692" s="4">
        <v>116500</v>
      </c>
      <c r="I692" s="2" t="s">
        <v>16</v>
      </c>
      <c r="J692" s="2"/>
      <c r="K692" s="22">
        <f t="shared" si="10"/>
        <v>0</v>
      </c>
    </row>
    <row r="693" spans="1:11" x14ac:dyDescent="0.45">
      <c r="A693" s="5" t="s">
        <v>786</v>
      </c>
      <c r="B693" s="5">
        <v>12</v>
      </c>
      <c r="C693" s="5" t="s">
        <v>34</v>
      </c>
      <c r="D693" s="5" t="s">
        <v>30</v>
      </c>
      <c r="E693" s="5" t="s">
        <v>57</v>
      </c>
      <c r="F693" s="5" t="s">
        <v>63</v>
      </c>
      <c r="G693" s="6" t="s">
        <v>97</v>
      </c>
      <c r="H693" s="7">
        <v>11600</v>
      </c>
      <c r="I693" s="5" t="s">
        <v>58</v>
      </c>
      <c r="J693" s="5"/>
      <c r="K693" s="22">
        <f t="shared" si="10"/>
        <v>0</v>
      </c>
    </row>
    <row r="694" spans="1:11" x14ac:dyDescent="0.45">
      <c r="A694" s="2" t="s">
        <v>787</v>
      </c>
      <c r="B694" s="2">
        <v>4</v>
      </c>
      <c r="C694" s="2" t="s">
        <v>47</v>
      </c>
      <c r="D694" s="2" t="s">
        <v>23</v>
      </c>
      <c r="E694" s="2" t="s">
        <v>71</v>
      </c>
      <c r="F694" s="2" t="s">
        <v>63</v>
      </c>
      <c r="G694" s="3" t="s">
        <v>64</v>
      </c>
      <c r="H694" s="4">
        <v>15700</v>
      </c>
      <c r="I694" s="2" t="s">
        <v>72</v>
      </c>
      <c r="J694" s="2"/>
      <c r="K694" s="22">
        <f t="shared" si="10"/>
        <v>0</v>
      </c>
    </row>
    <row r="695" spans="1:11" x14ac:dyDescent="0.45">
      <c r="A695" s="5" t="s">
        <v>788</v>
      </c>
      <c r="B695" s="5">
        <v>4</v>
      </c>
      <c r="C695" s="5" t="s">
        <v>47</v>
      </c>
      <c r="D695" s="5" t="s">
        <v>23</v>
      </c>
      <c r="E695" s="5" t="s">
        <v>24</v>
      </c>
      <c r="F695" s="5" t="s">
        <v>25</v>
      </c>
      <c r="G695" s="6" t="s">
        <v>26</v>
      </c>
      <c r="H695" s="7">
        <v>4400</v>
      </c>
      <c r="I695" s="5" t="s">
        <v>27</v>
      </c>
      <c r="J695" s="5"/>
      <c r="K695" s="22">
        <f t="shared" si="10"/>
        <v>0</v>
      </c>
    </row>
    <row r="696" spans="1:11" x14ac:dyDescent="0.45">
      <c r="A696" s="2" t="s">
        <v>789</v>
      </c>
      <c r="B696" s="2">
        <v>3</v>
      </c>
      <c r="C696" s="2" t="s">
        <v>18</v>
      </c>
      <c r="D696" s="2" t="s">
        <v>12</v>
      </c>
      <c r="E696" s="2" t="s">
        <v>19</v>
      </c>
      <c r="F696" s="2" t="s">
        <v>63</v>
      </c>
      <c r="G696" s="3" t="s">
        <v>64</v>
      </c>
      <c r="H696" s="4">
        <v>4100</v>
      </c>
      <c r="I696" s="2" t="s">
        <v>20</v>
      </c>
      <c r="J696" s="2"/>
      <c r="K696" s="22">
        <f t="shared" si="10"/>
        <v>0</v>
      </c>
    </row>
    <row r="697" spans="1:11" x14ac:dyDescent="0.45">
      <c r="A697" s="5" t="s">
        <v>790</v>
      </c>
      <c r="B697" s="5">
        <v>7</v>
      </c>
      <c r="C697" s="5" t="s">
        <v>56</v>
      </c>
      <c r="D697" s="5" t="s">
        <v>41</v>
      </c>
      <c r="E697" s="5" t="s">
        <v>71</v>
      </c>
      <c r="F697" s="5" t="s">
        <v>88</v>
      </c>
      <c r="G697" s="6" t="s">
        <v>89</v>
      </c>
      <c r="H697" s="7">
        <v>51900</v>
      </c>
      <c r="I697" s="5" t="s">
        <v>72</v>
      </c>
      <c r="J697" s="5"/>
      <c r="K697" s="22">
        <f t="shared" si="10"/>
        <v>0</v>
      </c>
    </row>
    <row r="698" spans="1:11" x14ac:dyDescent="0.45">
      <c r="A698" s="2" t="s">
        <v>791</v>
      </c>
      <c r="B698" s="2">
        <v>9</v>
      </c>
      <c r="C698" s="2" t="s">
        <v>40</v>
      </c>
      <c r="D698" s="2" t="s">
        <v>41</v>
      </c>
      <c r="E698" s="2" t="s">
        <v>19</v>
      </c>
      <c r="F698" s="2" t="s">
        <v>63</v>
      </c>
      <c r="G698" s="3" t="s">
        <v>69</v>
      </c>
      <c r="H698" s="4">
        <v>5500</v>
      </c>
      <c r="I698" s="2" t="s">
        <v>20</v>
      </c>
      <c r="J698" s="2"/>
      <c r="K698" s="22">
        <f t="shared" si="10"/>
        <v>0</v>
      </c>
    </row>
    <row r="699" spans="1:11" x14ac:dyDescent="0.45">
      <c r="A699" s="5" t="s">
        <v>792</v>
      </c>
      <c r="B699" s="5">
        <v>12</v>
      </c>
      <c r="C699" s="5" t="s">
        <v>34</v>
      </c>
      <c r="D699" s="5" t="s">
        <v>30</v>
      </c>
      <c r="E699" s="5" t="s">
        <v>19</v>
      </c>
      <c r="F699" s="5" t="s">
        <v>53</v>
      </c>
      <c r="G699" s="6" t="s">
        <v>121</v>
      </c>
      <c r="H699" s="7">
        <v>23500</v>
      </c>
      <c r="I699" s="5" t="s">
        <v>20</v>
      </c>
      <c r="J699" s="5"/>
      <c r="K699" s="22">
        <f t="shared" si="10"/>
        <v>0</v>
      </c>
    </row>
    <row r="700" spans="1:11" x14ac:dyDescent="0.45">
      <c r="A700" s="2" t="s">
        <v>793</v>
      </c>
      <c r="B700" s="2">
        <v>10</v>
      </c>
      <c r="C700" s="2" t="s">
        <v>40</v>
      </c>
      <c r="D700" s="2" t="s">
        <v>30</v>
      </c>
      <c r="E700" s="2" t="s">
        <v>57</v>
      </c>
      <c r="F700" s="2" t="s">
        <v>75</v>
      </c>
      <c r="G700" s="3" t="s">
        <v>76</v>
      </c>
      <c r="H700" s="4">
        <v>14900</v>
      </c>
      <c r="I700" s="2" t="s">
        <v>58</v>
      </c>
      <c r="J700" s="2"/>
      <c r="K700" s="22">
        <f t="shared" si="10"/>
        <v>0</v>
      </c>
    </row>
    <row r="701" spans="1:11" x14ac:dyDescent="0.45">
      <c r="A701" s="5" t="s">
        <v>794</v>
      </c>
      <c r="B701" s="5">
        <v>11</v>
      </c>
      <c r="C701" s="5" t="s">
        <v>29</v>
      </c>
      <c r="D701" s="5" t="s">
        <v>30</v>
      </c>
      <c r="E701" s="5" t="s">
        <v>13</v>
      </c>
      <c r="F701" s="5" t="s">
        <v>102</v>
      </c>
      <c r="G701" s="6" t="s">
        <v>140</v>
      </c>
      <c r="H701" s="7">
        <v>11000</v>
      </c>
      <c r="I701" s="5" t="s">
        <v>16</v>
      </c>
      <c r="J701" s="5"/>
      <c r="K701" s="22">
        <f t="shared" si="10"/>
        <v>0</v>
      </c>
    </row>
    <row r="702" spans="1:11" x14ac:dyDescent="0.45">
      <c r="A702" s="2" t="s">
        <v>795</v>
      </c>
      <c r="B702" s="2">
        <v>10</v>
      </c>
      <c r="C702" s="2" t="s">
        <v>40</v>
      </c>
      <c r="D702" s="2" t="s">
        <v>30</v>
      </c>
      <c r="E702" s="2" t="s">
        <v>19</v>
      </c>
      <c r="F702" s="2" t="s">
        <v>53</v>
      </c>
      <c r="G702" s="3" t="s">
        <v>164</v>
      </c>
      <c r="H702" s="4">
        <v>43600</v>
      </c>
      <c r="I702" s="2" t="s">
        <v>20</v>
      </c>
      <c r="J702" s="2"/>
      <c r="K702" s="22">
        <f t="shared" si="10"/>
        <v>0</v>
      </c>
    </row>
    <row r="703" spans="1:11" x14ac:dyDescent="0.45">
      <c r="A703" s="5" t="s">
        <v>796</v>
      </c>
      <c r="B703" s="5">
        <v>6</v>
      </c>
      <c r="C703" s="5" t="s">
        <v>78</v>
      </c>
      <c r="D703" s="5" t="s">
        <v>23</v>
      </c>
      <c r="E703" s="5" t="s">
        <v>57</v>
      </c>
      <c r="F703" s="5" t="s">
        <v>14</v>
      </c>
      <c r="G703" s="6" t="s">
        <v>15</v>
      </c>
      <c r="H703" s="7">
        <v>153000</v>
      </c>
      <c r="I703" s="5" t="s">
        <v>58</v>
      </c>
      <c r="J703" s="5"/>
      <c r="K703" s="22">
        <f t="shared" si="10"/>
        <v>0</v>
      </c>
    </row>
    <row r="704" spans="1:11" x14ac:dyDescent="0.45">
      <c r="A704" s="2" t="s">
        <v>797</v>
      </c>
      <c r="B704" s="2">
        <v>8</v>
      </c>
      <c r="C704" s="2" t="s">
        <v>60</v>
      </c>
      <c r="D704" s="2" t="s">
        <v>41</v>
      </c>
      <c r="E704" s="2" t="s">
        <v>35</v>
      </c>
      <c r="F704" s="2" t="s">
        <v>36</v>
      </c>
      <c r="G704" s="3" t="s">
        <v>126</v>
      </c>
      <c r="H704" s="4">
        <v>14000</v>
      </c>
      <c r="I704" s="2" t="s">
        <v>38</v>
      </c>
      <c r="J704" s="2"/>
      <c r="K704" s="22">
        <f t="shared" si="10"/>
        <v>0</v>
      </c>
    </row>
    <row r="705" spans="1:11" x14ac:dyDescent="0.45">
      <c r="A705" s="5" t="s">
        <v>798</v>
      </c>
      <c r="B705" s="5">
        <v>5</v>
      </c>
      <c r="C705" s="5" t="s">
        <v>22</v>
      </c>
      <c r="D705" s="5" t="s">
        <v>23</v>
      </c>
      <c r="E705" s="5" t="s">
        <v>71</v>
      </c>
      <c r="F705" s="5" t="s">
        <v>88</v>
      </c>
      <c r="G705" s="6" t="s">
        <v>89</v>
      </c>
      <c r="H705" s="7">
        <v>46400</v>
      </c>
      <c r="I705" s="5" t="s">
        <v>72</v>
      </c>
      <c r="J705" s="5"/>
      <c r="K705" s="22">
        <f t="shared" si="10"/>
        <v>0</v>
      </c>
    </row>
    <row r="706" spans="1:11" x14ac:dyDescent="0.45">
      <c r="A706" s="2" t="s">
        <v>799</v>
      </c>
      <c r="B706" s="2">
        <v>11</v>
      </c>
      <c r="C706" s="2" t="s">
        <v>29</v>
      </c>
      <c r="D706" s="2" t="s">
        <v>30</v>
      </c>
      <c r="E706" s="2" t="s">
        <v>35</v>
      </c>
      <c r="F706" s="2" t="s">
        <v>105</v>
      </c>
      <c r="G706" s="3" t="s">
        <v>150</v>
      </c>
      <c r="H706" s="4">
        <v>6600</v>
      </c>
      <c r="I706" s="2" t="s">
        <v>38</v>
      </c>
      <c r="J706" s="2"/>
      <c r="K706" s="22">
        <f t="shared" si="10"/>
        <v>0</v>
      </c>
    </row>
    <row r="707" spans="1:11" x14ac:dyDescent="0.45">
      <c r="A707" s="5" t="s">
        <v>800</v>
      </c>
      <c r="B707" s="5">
        <v>7</v>
      </c>
      <c r="C707" s="5" t="s">
        <v>56</v>
      </c>
      <c r="D707" s="5" t="s">
        <v>41</v>
      </c>
      <c r="E707" s="5" t="s">
        <v>19</v>
      </c>
      <c r="F707" s="5" t="s">
        <v>53</v>
      </c>
      <c r="G707" s="6" t="s">
        <v>54</v>
      </c>
      <c r="H707" s="7">
        <v>40600</v>
      </c>
      <c r="I707" s="5" t="s">
        <v>20</v>
      </c>
      <c r="J707" s="5"/>
      <c r="K707" s="22">
        <f t="shared" ref="K707:K770" si="11">IF(J707=$N$2,0,IF(J707=$N$3,1,IF(J707=$N$4,2)))</f>
        <v>0</v>
      </c>
    </row>
    <row r="708" spans="1:11" x14ac:dyDescent="0.45">
      <c r="A708" s="2" t="s">
        <v>801</v>
      </c>
      <c r="B708" s="2">
        <v>3</v>
      </c>
      <c r="C708" s="2" t="s">
        <v>18</v>
      </c>
      <c r="D708" s="2" t="s">
        <v>12</v>
      </c>
      <c r="E708" s="2" t="s">
        <v>24</v>
      </c>
      <c r="F708" s="2" t="s">
        <v>36</v>
      </c>
      <c r="G708" s="3" t="s">
        <v>111</v>
      </c>
      <c r="H708" s="4">
        <v>10300</v>
      </c>
      <c r="I708" s="2" t="s">
        <v>27</v>
      </c>
      <c r="J708" s="2"/>
      <c r="K708" s="22">
        <f t="shared" si="11"/>
        <v>0</v>
      </c>
    </row>
    <row r="709" spans="1:11" x14ac:dyDescent="0.45">
      <c r="A709" s="5" t="s">
        <v>802</v>
      </c>
      <c r="B709" s="5">
        <v>11</v>
      </c>
      <c r="C709" s="5" t="s">
        <v>29</v>
      </c>
      <c r="D709" s="5" t="s">
        <v>30</v>
      </c>
      <c r="E709" s="5" t="s">
        <v>57</v>
      </c>
      <c r="F709" s="5" t="s">
        <v>85</v>
      </c>
      <c r="G709" s="6" t="s">
        <v>86</v>
      </c>
      <c r="H709" s="7">
        <v>35900</v>
      </c>
      <c r="I709" s="5" t="s">
        <v>58</v>
      </c>
      <c r="J709" s="5"/>
      <c r="K709" s="22">
        <f t="shared" si="11"/>
        <v>0</v>
      </c>
    </row>
    <row r="710" spans="1:11" x14ac:dyDescent="0.45">
      <c r="A710" s="2" t="s">
        <v>803</v>
      </c>
      <c r="B710" s="2">
        <v>6</v>
      </c>
      <c r="C710" s="2" t="s">
        <v>78</v>
      </c>
      <c r="D710" s="2" t="s">
        <v>23</v>
      </c>
      <c r="E710" s="2" t="s">
        <v>24</v>
      </c>
      <c r="F710" s="2" t="s">
        <v>14</v>
      </c>
      <c r="G710" s="3" t="s">
        <v>48</v>
      </c>
      <c r="H710" s="4">
        <v>270800</v>
      </c>
      <c r="I710" s="2" t="s">
        <v>27</v>
      </c>
      <c r="J710" s="2"/>
      <c r="K710" s="22">
        <f t="shared" si="11"/>
        <v>0</v>
      </c>
    </row>
    <row r="711" spans="1:11" x14ac:dyDescent="0.45">
      <c r="A711" s="5" t="s">
        <v>804</v>
      </c>
      <c r="B711" s="5">
        <v>8</v>
      </c>
      <c r="C711" s="5" t="s">
        <v>60</v>
      </c>
      <c r="D711" s="5" t="s">
        <v>41</v>
      </c>
      <c r="E711" s="5" t="s">
        <v>24</v>
      </c>
      <c r="F711" s="5" t="s">
        <v>25</v>
      </c>
      <c r="G711" s="6" t="s">
        <v>26</v>
      </c>
      <c r="H711" s="7">
        <v>15100</v>
      </c>
      <c r="I711" s="5" t="s">
        <v>27</v>
      </c>
      <c r="J711" s="5"/>
      <c r="K711" s="22">
        <f t="shared" si="11"/>
        <v>0</v>
      </c>
    </row>
    <row r="712" spans="1:11" x14ac:dyDescent="0.45">
      <c r="A712" s="2" t="s">
        <v>805</v>
      </c>
      <c r="B712" s="2">
        <v>7</v>
      </c>
      <c r="C712" s="2" t="s">
        <v>56</v>
      </c>
      <c r="D712" s="2" t="s">
        <v>41</v>
      </c>
      <c r="E712" s="2" t="s">
        <v>35</v>
      </c>
      <c r="F712" s="2" t="s">
        <v>75</v>
      </c>
      <c r="G712" s="3" t="s">
        <v>83</v>
      </c>
      <c r="H712" s="4">
        <v>100</v>
      </c>
      <c r="I712" s="2" t="s">
        <v>38</v>
      </c>
      <c r="J712" s="2"/>
      <c r="K712" s="22">
        <f t="shared" si="11"/>
        <v>0</v>
      </c>
    </row>
    <row r="713" spans="1:11" x14ac:dyDescent="0.45">
      <c r="A713" s="5" t="s">
        <v>806</v>
      </c>
      <c r="B713" s="5">
        <v>10</v>
      </c>
      <c r="C713" s="5" t="s">
        <v>40</v>
      </c>
      <c r="D713" s="5" t="s">
        <v>30</v>
      </c>
      <c r="E713" s="5" t="s">
        <v>24</v>
      </c>
      <c r="F713" s="5" t="s">
        <v>14</v>
      </c>
      <c r="G713" s="6" t="s">
        <v>48</v>
      </c>
      <c r="H713" s="7">
        <v>12400</v>
      </c>
      <c r="I713" s="5" t="s">
        <v>27</v>
      </c>
      <c r="J713" s="5"/>
      <c r="K713" s="22">
        <f t="shared" si="11"/>
        <v>0</v>
      </c>
    </row>
    <row r="714" spans="1:11" x14ac:dyDescent="0.45">
      <c r="A714" s="2" t="s">
        <v>807</v>
      </c>
      <c r="B714" s="2">
        <v>5</v>
      </c>
      <c r="C714" s="2" t="s">
        <v>22</v>
      </c>
      <c r="D714" s="2" t="s">
        <v>23</v>
      </c>
      <c r="E714" s="2" t="s">
        <v>19</v>
      </c>
      <c r="F714" s="2" t="s">
        <v>53</v>
      </c>
      <c r="G714" s="3" t="s">
        <v>164</v>
      </c>
      <c r="H714" s="4">
        <v>22500</v>
      </c>
      <c r="I714" s="2" t="s">
        <v>20</v>
      </c>
      <c r="J714" s="2"/>
      <c r="K714" s="22">
        <f t="shared" si="11"/>
        <v>0</v>
      </c>
    </row>
    <row r="715" spans="1:11" x14ac:dyDescent="0.45">
      <c r="A715" s="5" t="s">
        <v>808</v>
      </c>
      <c r="B715" s="5">
        <v>8</v>
      </c>
      <c r="C715" s="5" t="s">
        <v>60</v>
      </c>
      <c r="D715" s="5" t="s">
        <v>41</v>
      </c>
      <c r="E715" s="5" t="s">
        <v>71</v>
      </c>
      <c r="F715" s="5" t="s">
        <v>94</v>
      </c>
      <c r="G715" s="6" t="s">
        <v>138</v>
      </c>
      <c r="H715" s="7">
        <v>9600</v>
      </c>
      <c r="I715" s="5" t="s">
        <v>72</v>
      </c>
      <c r="J715" s="5"/>
      <c r="K715" s="22">
        <f t="shared" si="11"/>
        <v>0</v>
      </c>
    </row>
    <row r="716" spans="1:11" x14ac:dyDescent="0.45">
      <c r="A716" s="2" t="s">
        <v>809</v>
      </c>
      <c r="B716" s="2">
        <v>3</v>
      </c>
      <c r="C716" s="2" t="s">
        <v>18</v>
      </c>
      <c r="D716" s="2" t="s">
        <v>12</v>
      </c>
      <c r="E716" s="2" t="s">
        <v>71</v>
      </c>
      <c r="F716" s="2" t="s">
        <v>14</v>
      </c>
      <c r="G716" s="3" t="s">
        <v>42</v>
      </c>
      <c r="H716" s="4">
        <v>205900</v>
      </c>
      <c r="I716" s="2" t="s">
        <v>72</v>
      </c>
      <c r="J716" s="2"/>
      <c r="K716" s="22">
        <f t="shared" si="11"/>
        <v>0</v>
      </c>
    </row>
    <row r="717" spans="1:11" x14ac:dyDescent="0.45">
      <c r="A717" s="5" t="s">
        <v>810</v>
      </c>
      <c r="B717" s="5">
        <v>11</v>
      </c>
      <c r="C717" s="5" t="s">
        <v>29</v>
      </c>
      <c r="D717" s="5" t="s">
        <v>30</v>
      </c>
      <c r="E717" s="5" t="s">
        <v>71</v>
      </c>
      <c r="F717" s="5" t="s">
        <v>63</v>
      </c>
      <c r="G717" s="6" t="s">
        <v>64</v>
      </c>
      <c r="H717" s="7">
        <v>32100</v>
      </c>
      <c r="I717" s="5" t="s">
        <v>72</v>
      </c>
      <c r="J717" s="5"/>
      <c r="K717" s="22">
        <f t="shared" si="11"/>
        <v>0</v>
      </c>
    </row>
    <row r="718" spans="1:11" x14ac:dyDescent="0.45">
      <c r="A718" s="2" t="s">
        <v>811</v>
      </c>
      <c r="B718" s="2">
        <v>2</v>
      </c>
      <c r="C718" s="2" t="s">
        <v>11</v>
      </c>
      <c r="D718" s="2" t="s">
        <v>12</v>
      </c>
      <c r="E718" s="2" t="s">
        <v>71</v>
      </c>
      <c r="F718" s="2" t="s">
        <v>94</v>
      </c>
      <c r="G718" s="3" t="s">
        <v>138</v>
      </c>
      <c r="H718" s="4">
        <v>3400</v>
      </c>
      <c r="I718" s="2" t="s">
        <v>72</v>
      </c>
      <c r="J718" s="2"/>
      <c r="K718" s="22">
        <f t="shared" si="11"/>
        <v>0</v>
      </c>
    </row>
    <row r="719" spans="1:11" x14ac:dyDescent="0.45">
      <c r="A719" s="5" t="s">
        <v>812</v>
      </c>
      <c r="B719" s="5">
        <v>1</v>
      </c>
      <c r="C719" s="5" t="s">
        <v>66</v>
      </c>
      <c r="D719" s="5" t="s">
        <v>12</v>
      </c>
      <c r="E719" s="5" t="s">
        <v>71</v>
      </c>
      <c r="F719" s="5" t="s">
        <v>88</v>
      </c>
      <c r="G719" s="6" t="s">
        <v>258</v>
      </c>
      <c r="H719" s="7">
        <v>92500</v>
      </c>
      <c r="I719" s="5" t="s">
        <v>72</v>
      </c>
      <c r="J719" s="5"/>
      <c r="K719" s="22">
        <f t="shared" si="11"/>
        <v>0</v>
      </c>
    </row>
    <row r="720" spans="1:11" x14ac:dyDescent="0.45">
      <c r="A720" s="2" t="s">
        <v>813</v>
      </c>
      <c r="B720" s="2">
        <v>7</v>
      </c>
      <c r="C720" s="2" t="s">
        <v>56</v>
      </c>
      <c r="D720" s="2" t="s">
        <v>41</v>
      </c>
      <c r="E720" s="2" t="s">
        <v>35</v>
      </c>
      <c r="F720" s="2" t="s">
        <v>105</v>
      </c>
      <c r="G720" s="3" t="s">
        <v>133</v>
      </c>
      <c r="H720" s="4">
        <v>3200</v>
      </c>
      <c r="I720" s="2" t="s">
        <v>38</v>
      </c>
      <c r="J720" s="2"/>
      <c r="K720" s="22">
        <f t="shared" si="11"/>
        <v>0</v>
      </c>
    </row>
    <row r="721" spans="1:11" x14ac:dyDescent="0.45">
      <c r="A721" s="5" t="s">
        <v>814</v>
      </c>
      <c r="B721" s="5">
        <v>9</v>
      </c>
      <c r="C721" s="5" t="s">
        <v>40</v>
      </c>
      <c r="D721" s="5" t="s">
        <v>41</v>
      </c>
      <c r="E721" s="5" t="s">
        <v>35</v>
      </c>
      <c r="F721" s="5" t="s">
        <v>14</v>
      </c>
      <c r="G721" s="6" t="s">
        <v>48</v>
      </c>
      <c r="H721" s="7">
        <v>4700</v>
      </c>
      <c r="I721" s="5" t="s">
        <v>38</v>
      </c>
      <c r="J721" s="5"/>
      <c r="K721" s="22">
        <f t="shared" si="11"/>
        <v>0</v>
      </c>
    </row>
    <row r="722" spans="1:11" x14ac:dyDescent="0.45">
      <c r="A722" s="2" t="s">
        <v>815</v>
      </c>
      <c r="B722" s="2">
        <v>8</v>
      </c>
      <c r="C722" s="2" t="s">
        <v>60</v>
      </c>
      <c r="D722" s="2" t="s">
        <v>41</v>
      </c>
      <c r="E722" s="2" t="s">
        <v>57</v>
      </c>
      <c r="F722" s="2" t="s">
        <v>85</v>
      </c>
      <c r="G722" s="3" t="s">
        <v>86</v>
      </c>
      <c r="H722" s="4">
        <v>4600</v>
      </c>
      <c r="I722" s="2" t="s">
        <v>58</v>
      </c>
      <c r="J722" s="2"/>
      <c r="K722" s="22">
        <f t="shared" si="11"/>
        <v>0</v>
      </c>
    </row>
    <row r="723" spans="1:11" x14ac:dyDescent="0.45">
      <c r="A723" s="5" t="s">
        <v>816</v>
      </c>
      <c r="B723" s="5">
        <v>6</v>
      </c>
      <c r="C723" s="5" t="s">
        <v>78</v>
      </c>
      <c r="D723" s="5" t="s">
        <v>23</v>
      </c>
      <c r="E723" s="5" t="s">
        <v>71</v>
      </c>
      <c r="F723" s="5" t="s">
        <v>88</v>
      </c>
      <c r="G723" s="6" t="s">
        <v>176</v>
      </c>
      <c r="H723" s="7">
        <v>500</v>
      </c>
      <c r="I723" s="5" t="s">
        <v>72</v>
      </c>
      <c r="J723" s="5"/>
      <c r="K723" s="22">
        <f t="shared" si="11"/>
        <v>0</v>
      </c>
    </row>
    <row r="724" spans="1:11" x14ac:dyDescent="0.45">
      <c r="A724" s="2" t="s">
        <v>817</v>
      </c>
      <c r="B724" s="2">
        <v>3</v>
      </c>
      <c r="C724" s="2" t="s">
        <v>18</v>
      </c>
      <c r="D724" s="2" t="s">
        <v>12</v>
      </c>
      <c r="E724" s="2" t="s">
        <v>35</v>
      </c>
      <c r="F724" s="2" t="s">
        <v>36</v>
      </c>
      <c r="G724" s="3" t="s">
        <v>111</v>
      </c>
      <c r="H724" s="4">
        <v>8600</v>
      </c>
      <c r="I724" s="2" t="s">
        <v>38</v>
      </c>
      <c r="J724" s="2"/>
      <c r="K724" s="22">
        <f t="shared" si="11"/>
        <v>0</v>
      </c>
    </row>
    <row r="725" spans="1:11" x14ac:dyDescent="0.45">
      <c r="A725" s="5" t="s">
        <v>818</v>
      </c>
      <c r="B725" s="5">
        <v>10</v>
      </c>
      <c r="C725" s="5" t="s">
        <v>40</v>
      </c>
      <c r="D725" s="5" t="s">
        <v>30</v>
      </c>
      <c r="E725" s="5" t="s">
        <v>35</v>
      </c>
      <c r="F725" s="5" t="s">
        <v>75</v>
      </c>
      <c r="G725" s="6" t="s">
        <v>83</v>
      </c>
      <c r="H725" s="7">
        <v>3400</v>
      </c>
      <c r="I725" s="5" t="s">
        <v>38</v>
      </c>
      <c r="J725" s="5"/>
      <c r="K725" s="22">
        <f t="shared" si="11"/>
        <v>0</v>
      </c>
    </row>
    <row r="726" spans="1:11" x14ac:dyDescent="0.45">
      <c r="A726" s="2" t="s">
        <v>819</v>
      </c>
      <c r="B726" s="2">
        <v>6</v>
      </c>
      <c r="C726" s="2" t="s">
        <v>78</v>
      </c>
      <c r="D726" s="2" t="s">
        <v>23</v>
      </c>
      <c r="E726" s="2" t="s">
        <v>71</v>
      </c>
      <c r="F726" s="2" t="s">
        <v>88</v>
      </c>
      <c r="G726" s="3" t="s">
        <v>176</v>
      </c>
      <c r="H726" s="4">
        <v>87400</v>
      </c>
      <c r="I726" s="2" t="s">
        <v>72</v>
      </c>
      <c r="J726" s="2"/>
      <c r="K726" s="22">
        <f t="shared" si="11"/>
        <v>0</v>
      </c>
    </row>
    <row r="727" spans="1:11" x14ac:dyDescent="0.45">
      <c r="A727" s="5" t="s">
        <v>820</v>
      </c>
      <c r="B727" s="5">
        <v>3</v>
      </c>
      <c r="C727" s="5" t="s">
        <v>18</v>
      </c>
      <c r="D727" s="5" t="s">
        <v>12</v>
      </c>
      <c r="E727" s="5" t="s">
        <v>57</v>
      </c>
      <c r="F727" s="5" t="s">
        <v>63</v>
      </c>
      <c r="G727" s="6" t="s">
        <v>97</v>
      </c>
      <c r="H727" s="7">
        <v>2000</v>
      </c>
      <c r="I727" s="5" t="s">
        <v>58</v>
      </c>
      <c r="J727" s="5"/>
      <c r="K727" s="22">
        <f t="shared" si="11"/>
        <v>0</v>
      </c>
    </row>
    <row r="728" spans="1:11" x14ac:dyDescent="0.45">
      <c r="A728" s="2" t="s">
        <v>821</v>
      </c>
      <c r="B728" s="2">
        <v>6</v>
      </c>
      <c r="C728" s="2" t="s">
        <v>78</v>
      </c>
      <c r="D728" s="2" t="s">
        <v>23</v>
      </c>
      <c r="E728" s="2" t="s">
        <v>71</v>
      </c>
      <c r="F728" s="2" t="s">
        <v>94</v>
      </c>
      <c r="G728" s="3" t="s">
        <v>157</v>
      </c>
      <c r="H728" s="4">
        <v>3300</v>
      </c>
      <c r="I728" s="2" t="s">
        <v>72</v>
      </c>
      <c r="J728" s="2"/>
      <c r="K728" s="22">
        <f t="shared" si="11"/>
        <v>0</v>
      </c>
    </row>
    <row r="729" spans="1:11" x14ac:dyDescent="0.45">
      <c r="A729" s="5" t="s">
        <v>822</v>
      </c>
      <c r="B729" s="5">
        <v>5</v>
      </c>
      <c r="C729" s="5" t="s">
        <v>22</v>
      </c>
      <c r="D729" s="5" t="s">
        <v>23</v>
      </c>
      <c r="E729" s="5" t="s">
        <v>24</v>
      </c>
      <c r="F729" s="5" t="s">
        <v>25</v>
      </c>
      <c r="G729" s="6" t="s">
        <v>100</v>
      </c>
      <c r="H729" s="7">
        <v>25000</v>
      </c>
      <c r="I729" s="5" t="s">
        <v>27</v>
      </c>
      <c r="J729" s="5"/>
      <c r="K729" s="22">
        <f t="shared" si="11"/>
        <v>0</v>
      </c>
    </row>
    <row r="730" spans="1:11" x14ac:dyDescent="0.45">
      <c r="A730" s="2" t="s">
        <v>823</v>
      </c>
      <c r="B730" s="2">
        <v>7</v>
      </c>
      <c r="C730" s="2" t="s">
        <v>56</v>
      </c>
      <c r="D730" s="2" t="s">
        <v>41</v>
      </c>
      <c r="E730" s="2" t="s">
        <v>13</v>
      </c>
      <c r="F730" s="2" t="s">
        <v>63</v>
      </c>
      <c r="G730" s="3" t="s">
        <v>69</v>
      </c>
      <c r="H730" s="4">
        <v>20400</v>
      </c>
      <c r="I730" s="2" t="s">
        <v>16</v>
      </c>
      <c r="J730" s="2"/>
      <c r="K730" s="22">
        <f t="shared" si="11"/>
        <v>0</v>
      </c>
    </row>
    <row r="731" spans="1:11" x14ac:dyDescent="0.45">
      <c r="A731" s="5" t="s">
        <v>824</v>
      </c>
      <c r="B731" s="5">
        <v>1</v>
      </c>
      <c r="C731" s="5" t="s">
        <v>66</v>
      </c>
      <c r="D731" s="5" t="s">
        <v>12</v>
      </c>
      <c r="E731" s="5" t="s">
        <v>13</v>
      </c>
      <c r="F731" s="5" t="s">
        <v>63</v>
      </c>
      <c r="G731" s="6" t="s">
        <v>64</v>
      </c>
      <c r="H731" s="7">
        <v>17900</v>
      </c>
      <c r="I731" s="5" t="s">
        <v>16</v>
      </c>
      <c r="J731" s="5"/>
      <c r="K731" s="22">
        <f t="shared" si="11"/>
        <v>0</v>
      </c>
    </row>
    <row r="732" spans="1:11" x14ac:dyDescent="0.45">
      <c r="A732" s="2" t="s">
        <v>825</v>
      </c>
      <c r="B732" s="2">
        <v>3</v>
      </c>
      <c r="C732" s="2" t="s">
        <v>18</v>
      </c>
      <c r="D732" s="2" t="s">
        <v>12</v>
      </c>
      <c r="E732" s="2" t="s">
        <v>19</v>
      </c>
      <c r="F732" s="2" t="s">
        <v>63</v>
      </c>
      <c r="G732" s="3" t="s">
        <v>64</v>
      </c>
      <c r="H732" s="4">
        <v>1000</v>
      </c>
      <c r="I732" s="2" t="s">
        <v>20</v>
      </c>
      <c r="J732" s="2"/>
      <c r="K732" s="22">
        <f t="shared" si="11"/>
        <v>0</v>
      </c>
    </row>
    <row r="733" spans="1:11" x14ac:dyDescent="0.45">
      <c r="A733" s="5" t="s">
        <v>826</v>
      </c>
      <c r="B733" s="5">
        <v>11</v>
      </c>
      <c r="C733" s="5" t="s">
        <v>29</v>
      </c>
      <c r="D733" s="5" t="s">
        <v>30</v>
      </c>
      <c r="E733" s="5" t="s">
        <v>19</v>
      </c>
      <c r="F733" s="5" t="s">
        <v>53</v>
      </c>
      <c r="G733" s="6" t="s">
        <v>121</v>
      </c>
      <c r="H733" s="7">
        <v>14000</v>
      </c>
      <c r="I733" s="5" t="s">
        <v>20</v>
      </c>
      <c r="J733" s="5"/>
      <c r="K733" s="22">
        <f t="shared" si="11"/>
        <v>0</v>
      </c>
    </row>
    <row r="734" spans="1:11" x14ac:dyDescent="0.45">
      <c r="A734" s="2" t="s">
        <v>827</v>
      </c>
      <c r="B734" s="2">
        <v>10</v>
      </c>
      <c r="C734" s="2" t="s">
        <v>40</v>
      </c>
      <c r="D734" s="2" t="s">
        <v>30</v>
      </c>
      <c r="E734" s="2" t="s">
        <v>71</v>
      </c>
      <c r="F734" s="2" t="s">
        <v>63</v>
      </c>
      <c r="G734" s="3" t="s">
        <v>97</v>
      </c>
      <c r="H734" s="4">
        <v>52400</v>
      </c>
      <c r="I734" s="2" t="s">
        <v>72</v>
      </c>
      <c r="J734" s="2"/>
      <c r="K734" s="22">
        <f t="shared" si="11"/>
        <v>0</v>
      </c>
    </row>
    <row r="735" spans="1:11" x14ac:dyDescent="0.45">
      <c r="A735" s="5" t="s">
        <v>828</v>
      </c>
      <c r="B735" s="5">
        <v>9</v>
      </c>
      <c r="C735" s="5" t="s">
        <v>40</v>
      </c>
      <c r="D735" s="5" t="s">
        <v>41</v>
      </c>
      <c r="E735" s="5" t="s">
        <v>57</v>
      </c>
      <c r="F735" s="5" t="s">
        <v>63</v>
      </c>
      <c r="G735" s="6" t="s">
        <v>69</v>
      </c>
      <c r="H735" s="7">
        <v>7500</v>
      </c>
      <c r="I735" s="5" t="s">
        <v>58</v>
      </c>
      <c r="J735" s="5"/>
      <c r="K735" s="22">
        <f t="shared" si="11"/>
        <v>0</v>
      </c>
    </row>
    <row r="736" spans="1:11" x14ac:dyDescent="0.45">
      <c r="A736" s="2" t="s">
        <v>829</v>
      </c>
      <c r="B736" s="2">
        <v>1</v>
      </c>
      <c r="C736" s="2" t="s">
        <v>66</v>
      </c>
      <c r="D736" s="2" t="s">
        <v>12</v>
      </c>
      <c r="E736" s="2" t="s">
        <v>24</v>
      </c>
      <c r="F736" s="2" t="s">
        <v>44</v>
      </c>
      <c r="G736" s="3" t="s">
        <v>67</v>
      </c>
      <c r="H736" s="4">
        <v>79600</v>
      </c>
      <c r="I736" s="2" t="s">
        <v>27</v>
      </c>
      <c r="J736" s="2"/>
      <c r="K736" s="22">
        <f t="shared" si="11"/>
        <v>0</v>
      </c>
    </row>
    <row r="737" spans="1:11" x14ac:dyDescent="0.45">
      <c r="A737" s="5" t="s">
        <v>830</v>
      </c>
      <c r="B737" s="5">
        <v>4</v>
      </c>
      <c r="C737" s="5" t="s">
        <v>47</v>
      </c>
      <c r="D737" s="5" t="s">
        <v>23</v>
      </c>
      <c r="E737" s="5" t="s">
        <v>24</v>
      </c>
      <c r="F737" s="5" t="s">
        <v>36</v>
      </c>
      <c r="G737" s="6" t="s">
        <v>37</v>
      </c>
      <c r="H737" s="7">
        <v>30400</v>
      </c>
      <c r="I737" s="5" t="s">
        <v>27</v>
      </c>
      <c r="J737" s="5"/>
      <c r="K737" s="22">
        <f t="shared" si="11"/>
        <v>0</v>
      </c>
    </row>
    <row r="738" spans="1:11" x14ac:dyDescent="0.45">
      <c r="A738" s="2" t="s">
        <v>831</v>
      </c>
      <c r="B738" s="2">
        <v>10</v>
      </c>
      <c r="C738" s="2" t="s">
        <v>40</v>
      </c>
      <c r="D738" s="2" t="s">
        <v>30</v>
      </c>
      <c r="E738" s="2" t="s">
        <v>19</v>
      </c>
      <c r="F738" s="2" t="s">
        <v>63</v>
      </c>
      <c r="G738" s="3" t="s">
        <v>64</v>
      </c>
      <c r="H738" s="4">
        <v>2800</v>
      </c>
      <c r="I738" s="2" t="s">
        <v>20</v>
      </c>
      <c r="J738" s="2"/>
      <c r="K738" s="22">
        <f t="shared" si="11"/>
        <v>0</v>
      </c>
    </row>
    <row r="739" spans="1:11" x14ac:dyDescent="0.45">
      <c r="A739" s="5" t="s">
        <v>832</v>
      </c>
      <c r="B739" s="5">
        <v>3</v>
      </c>
      <c r="C739" s="5" t="s">
        <v>18</v>
      </c>
      <c r="D739" s="5" t="s">
        <v>12</v>
      </c>
      <c r="E739" s="5" t="s">
        <v>57</v>
      </c>
      <c r="F739" s="5" t="s">
        <v>85</v>
      </c>
      <c r="G739" s="6" t="s">
        <v>129</v>
      </c>
      <c r="H739" s="7">
        <v>2400</v>
      </c>
      <c r="I739" s="5" t="s">
        <v>58</v>
      </c>
      <c r="J739" s="5"/>
      <c r="K739" s="22">
        <f t="shared" si="11"/>
        <v>0</v>
      </c>
    </row>
    <row r="740" spans="1:11" x14ac:dyDescent="0.45">
      <c r="A740" s="2" t="s">
        <v>833</v>
      </c>
      <c r="B740" s="2">
        <v>6</v>
      </c>
      <c r="C740" s="2" t="s">
        <v>78</v>
      </c>
      <c r="D740" s="2" t="s">
        <v>23</v>
      </c>
      <c r="E740" s="2" t="s">
        <v>24</v>
      </c>
      <c r="F740" s="2" t="s">
        <v>25</v>
      </c>
      <c r="G740" s="3" t="s">
        <v>26</v>
      </c>
      <c r="H740" s="4">
        <v>46400</v>
      </c>
      <c r="I740" s="2" t="s">
        <v>27</v>
      </c>
      <c r="J740" s="2"/>
      <c r="K740" s="22">
        <f t="shared" si="11"/>
        <v>0</v>
      </c>
    </row>
    <row r="741" spans="1:11" x14ac:dyDescent="0.45">
      <c r="A741" s="5" t="s">
        <v>834</v>
      </c>
      <c r="B741" s="5">
        <v>9</v>
      </c>
      <c r="C741" s="5" t="s">
        <v>40</v>
      </c>
      <c r="D741" s="5" t="s">
        <v>41</v>
      </c>
      <c r="E741" s="5" t="s">
        <v>35</v>
      </c>
      <c r="F741" s="5" t="s">
        <v>36</v>
      </c>
      <c r="G741" s="6" t="s">
        <v>126</v>
      </c>
      <c r="H741" s="7">
        <v>2900</v>
      </c>
      <c r="I741" s="5" t="s">
        <v>38</v>
      </c>
      <c r="J741" s="5"/>
      <c r="K741" s="22">
        <f t="shared" si="11"/>
        <v>0</v>
      </c>
    </row>
    <row r="742" spans="1:11" x14ac:dyDescent="0.45">
      <c r="A742" s="2" t="s">
        <v>835</v>
      </c>
      <c r="B742" s="2">
        <v>11</v>
      </c>
      <c r="C742" s="2" t="s">
        <v>29</v>
      </c>
      <c r="D742" s="2" t="s">
        <v>30</v>
      </c>
      <c r="E742" s="2" t="s">
        <v>24</v>
      </c>
      <c r="F742" s="2" t="s">
        <v>36</v>
      </c>
      <c r="G742" s="3" t="s">
        <v>37</v>
      </c>
      <c r="H742" s="4">
        <v>17800</v>
      </c>
      <c r="I742" s="2" t="s">
        <v>27</v>
      </c>
      <c r="J742" s="2"/>
      <c r="K742" s="22">
        <f t="shared" si="11"/>
        <v>0</v>
      </c>
    </row>
    <row r="743" spans="1:11" x14ac:dyDescent="0.45">
      <c r="A743" s="5" t="s">
        <v>836</v>
      </c>
      <c r="B743" s="5">
        <v>11</v>
      </c>
      <c r="C743" s="5" t="s">
        <v>29</v>
      </c>
      <c r="D743" s="5" t="s">
        <v>30</v>
      </c>
      <c r="E743" s="5" t="s">
        <v>19</v>
      </c>
      <c r="F743" s="5" t="s">
        <v>14</v>
      </c>
      <c r="G743" s="6" t="s">
        <v>42</v>
      </c>
      <c r="H743" s="7">
        <v>129600</v>
      </c>
      <c r="I743" s="5" t="s">
        <v>20</v>
      </c>
      <c r="J743" s="5"/>
      <c r="K743" s="22">
        <f t="shared" si="11"/>
        <v>0</v>
      </c>
    </row>
    <row r="744" spans="1:11" x14ac:dyDescent="0.45">
      <c r="A744" s="2" t="s">
        <v>837</v>
      </c>
      <c r="B744" s="2">
        <v>8</v>
      </c>
      <c r="C744" s="2" t="s">
        <v>60</v>
      </c>
      <c r="D744" s="2" t="s">
        <v>41</v>
      </c>
      <c r="E744" s="2" t="s">
        <v>24</v>
      </c>
      <c r="F744" s="2" t="s">
        <v>36</v>
      </c>
      <c r="G744" s="3" t="s">
        <v>126</v>
      </c>
      <c r="H744" s="4">
        <v>31300</v>
      </c>
      <c r="I744" s="2" t="s">
        <v>27</v>
      </c>
      <c r="J744" s="2"/>
      <c r="K744" s="22">
        <f t="shared" si="11"/>
        <v>0</v>
      </c>
    </row>
    <row r="745" spans="1:11" x14ac:dyDescent="0.45">
      <c r="A745" s="5" t="s">
        <v>838</v>
      </c>
      <c r="B745" s="5">
        <v>3</v>
      </c>
      <c r="C745" s="5" t="s">
        <v>18</v>
      </c>
      <c r="D745" s="5" t="s">
        <v>12</v>
      </c>
      <c r="E745" s="5" t="s">
        <v>24</v>
      </c>
      <c r="F745" s="5" t="s">
        <v>36</v>
      </c>
      <c r="G745" s="6" t="s">
        <v>126</v>
      </c>
      <c r="H745" s="7">
        <v>8700</v>
      </c>
      <c r="I745" s="5" t="s">
        <v>27</v>
      </c>
      <c r="J745" s="5"/>
      <c r="K745" s="22">
        <f t="shared" si="11"/>
        <v>0</v>
      </c>
    </row>
    <row r="746" spans="1:11" x14ac:dyDescent="0.45">
      <c r="A746" s="2" t="s">
        <v>839</v>
      </c>
      <c r="B746" s="2">
        <v>7</v>
      </c>
      <c r="C746" s="2" t="s">
        <v>56</v>
      </c>
      <c r="D746" s="2" t="s">
        <v>41</v>
      </c>
      <c r="E746" s="2" t="s">
        <v>35</v>
      </c>
      <c r="F746" s="2" t="s">
        <v>75</v>
      </c>
      <c r="G746" s="3" t="s">
        <v>179</v>
      </c>
      <c r="H746" s="4">
        <v>3600</v>
      </c>
      <c r="I746" s="2" t="s">
        <v>38</v>
      </c>
      <c r="J746" s="2"/>
      <c r="K746" s="22">
        <f t="shared" si="11"/>
        <v>0</v>
      </c>
    </row>
    <row r="747" spans="1:11" x14ac:dyDescent="0.45">
      <c r="A747" s="5" t="s">
        <v>840</v>
      </c>
      <c r="B747" s="5">
        <v>11</v>
      </c>
      <c r="C747" s="5" t="s">
        <v>29</v>
      </c>
      <c r="D747" s="5" t="s">
        <v>30</v>
      </c>
      <c r="E747" s="5" t="s">
        <v>19</v>
      </c>
      <c r="F747" s="5" t="s">
        <v>53</v>
      </c>
      <c r="G747" s="6" t="s">
        <v>164</v>
      </c>
      <c r="H747" s="7">
        <v>15200</v>
      </c>
      <c r="I747" s="5" t="s">
        <v>20</v>
      </c>
      <c r="J747" s="5"/>
      <c r="K747" s="22">
        <f t="shared" si="11"/>
        <v>0</v>
      </c>
    </row>
    <row r="748" spans="1:11" x14ac:dyDescent="0.45">
      <c r="A748" s="2" t="s">
        <v>841</v>
      </c>
      <c r="B748" s="2">
        <v>12</v>
      </c>
      <c r="C748" s="2" t="s">
        <v>34</v>
      </c>
      <c r="D748" s="2" t="s">
        <v>30</v>
      </c>
      <c r="E748" s="2" t="s">
        <v>24</v>
      </c>
      <c r="F748" s="2" t="s">
        <v>25</v>
      </c>
      <c r="G748" s="3" t="s">
        <v>100</v>
      </c>
      <c r="H748" s="4">
        <v>50000</v>
      </c>
      <c r="I748" s="2" t="s">
        <v>27</v>
      </c>
      <c r="J748" s="2"/>
      <c r="K748" s="22">
        <f t="shared" si="11"/>
        <v>0</v>
      </c>
    </row>
    <row r="749" spans="1:11" x14ac:dyDescent="0.45">
      <c r="A749" s="5" t="s">
        <v>842</v>
      </c>
      <c r="B749" s="5">
        <v>12</v>
      </c>
      <c r="C749" s="5" t="s">
        <v>34</v>
      </c>
      <c r="D749" s="5" t="s">
        <v>30</v>
      </c>
      <c r="E749" s="5" t="s">
        <v>71</v>
      </c>
      <c r="F749" s="5" t="s">
        <v>63</v>
      </c>
      <c r="G749" s="6" t="s">
        <v>97</v>
      </c>
      <c r="H749" s="7">
        <v>42500</v>
      </c>
      <c r="I749" s="5" t="s">
        <v>72</v>
      </c>
      <c r="J749" s="5"/>
      <c r="K749" s="22">
        <f t="shared" si="11"/>
        <v>0</v>
      </c>
    </row>
    <row r="750" spans="1:11" x14ac:dyDescent="0.45">
      <c r="A750" s="2" t="s">
        <v>843</v>
      </c>
      <c r="B750" s="2">
        <v>4</v>
      </c>
      <c r="C750" s="2" t="s">
        <v>47</v>
      </c>
      <c r="D750" s="2" t="s">
        <v>23</v>
      </c>
      <c r="E750" s="2" t="s">
        <v>57</v>
      </c>
      <c r="F750" s="2" t="s">
        <v>63</v>
      </c>
      <c r="G750" s="3" t="s">
        <v>64</v>
      </c>
      <c r="H750" s="4">
        <v>2000</v>
      </c>
      <c r="I750" s="2" t="s">
        <v>58</v>
      </c>
      <c r="J750" s="2"/>
      <c r="K750" s="22">
        <f t="shared" si="11"/>
        <v>0</v>
      </c>
    </row>
    <row r="751" spans="1:11" x14ac:dyDescent="0.45">
      <c r="A751" s="5" t="s">
        <v>844</v>
      </c>
      <c r="B751" s="5">
        <v>12</v>
      </c>
      <c r="C751" s="5" t="s">
        <v>34</v>
      </c>
      <c r="D751" s="5" t="s">
        <v>30</v>
      </c>
      <c r="E751" s="5" t="s">
        <v>71</v>
      </c>
      <c r="F751" s="5" t="s">
        <v>94</v>
      </c>
      <c r="G751" s="6" t="s">
        <v>95</v>
      </c>
      <c r="H751" s="7">
        <v>22800</v>
      </c>
      <c r="I751" s="5" t="s">
        <v>72</v>
      </c>
      <c r="J751" s="5"/>
      <c r="K751" s="22">
        <f t="shared" si="11"/>
        <v>0</v>
      </c>
    </row>
    <row r="752" spans="1:11" x14ac:dyDescent="0.45">
      <c r="A752" s="2" t="s">
        <v>845</v>
      </c>
      <c r="B752" s="2">
        <v>9</v>
      </c>
      <c r="C752" s="2" t="s">
        <v>40</v>
      </c>
      <c r="D752" s="2" t="s">
        <v>41</v>
      </c>
      <c r="E752" s="2" t="s">
        <v>13</v>
      </c>
      <c r="F752" s="2" t="s">
        <v>102</v>
      </c>
      <c r="G752" s="3" t="s">
        <v>140</v>
      </c>
      <c r="H752" s="4">
        <v>25600</v>
      </c>
      <c r="I752" s="2" t="s">
        <v>16</v>
      </c>
      <c r="J752" s="2"/>
      <c r="K752" s="22">
        <f t="shared" si="11"/>
        <v>0</v>
      </c>
    </row>
    <row r="753" spans="1:11" x14ac:dyDescent="0.45">
      <c r="A753" s="5" t="s">
        <v>846</v>
      </c>
      <c r="B753" s="5">
        <v>10</v>
      </c>
      <c r="C753" s="5" t="s">
        <v>40</v>
      </c>
      <c r="D753" s="5" t="s">
        <v>30</v>
      </c>
      <c r="E753" s="5" t="s">
        <v>13</v>
      </c>
      <c r="F753" s="5" t="s">
        <v>50</v>
      </c>
      <c r="G753" s="6" t="s">
        <v>144</v>
      </c>
      <c r="H753" s="7">
        <v>18100</v>
      </c>
      <c r="I753" s="5" t="s">
        <v>16</v>
      </c>
      <c r="J753" s="5"/>
      <c r="K753" s="22">
        <f t="shared" si="11"/>
        <v>0</v>
      </c>
    </row>
    <row r="754" spans="1:11" x14ac:dyDescent="0.45">
      <c r="A754" s="2" t="s">
        <v>847</v>
      </c>
      <c r="B754" s="2">
        <v>4</v>
      </c>
      <c r="C754" s="2" t="s">
        <v>47</v>
      </c>
      <c r="D754" s="2" t="s">
        <v>23</v>
      </c>
      <c r="E754" s="2" t="s">
        <v>35</v>
      </c>
      <c r="F754" s="2" t="s">
        <v>105</v>
      </c>
      <c r="G754" s="3" t="s">
        <v>150</v>
      </c>
      <c r="H754" s="4">
        <v>2400</v>
      </c>
      <c r="I754" s="2" t="s">
        <v>38</v>
      </c>
      <c r="J754" s="2"/>
      <c r="K754" s="22">
        <f t="shared" si="11"/>
        <v>0</v>
      </c>
    </row>
    <row r="755" spans="1:11" x14ac:dyDescent="0.45">
      <c r="A755" s="5" t="s">
        <v>848</v>
      </c>
      <c r="B755" s="5">
        <v>11</v>
      </c>
      <c r="C755" s="5" t="s">
        <v>29</v>
      </c>
      <c r="D755" s="5" t="s">
        <v>30</v>
      </c>
      <c r="E755" s="5" t="s">
        <v>71</v>
      </c>
      <c r="F755" s="5" t="s">
        <v>94</v>
      </c>
      <c r="G755" s="6" t="s">
        <v>157</v>
      </c>
      <c r="H755" s="7">
        <v>2100</v>
      </c>
      <c r="I755" s="5" t="s">
        <v>72</v>
      </c>
      <c r="J755" s="5"/>
      <c r="K755" s="22">
        <f t="shared" si="11"/>
        <v>0</v>
      </c>
    </row>
    <row r="756" spans="1:11" x14ac:dyDescent="0.45">
      <c r="A756" s="2" t="s">
        <v>849</v>
      </c>
      <c r="B756" s="2">
        <v>12</v>
      </c>
      <c r="C756" s="2" t="s">
        <v>34</v>
      </c>
      <c r="D756" s="2" t="s">
        <v>30</v>
      </c>
      <c r="E756" s="2" t="s">
        <v>35</v>
      </c>
      <c r="F756" s="2" t="s">
        <v>14</v>
      </c>
      <c r="G756" s="3" t="s">
        <v>15</v>
      </c>
      <c r="H756" s="4">
        <v>100500</v>
      </c>
      <c r="I756" s="2" t="s">
        <v>38</v>
      </c>
      <c r="J756" s="2"/>
      <c r="K756" s="22">
        <f t="shared" si="11"/>
        <v>0</v>
      </c>
    </row>
    <row r="757" spans="1:11" x14ac:dyDescent="0.45">
      <c r="A757" s="5" t="s">
        <v>850</v>
      </c>
      <c r="B757" s="5">
        <v>1</v>
      </c>
      <c r="C757" s="5" t="s">
        <v>66</v>
      </c>
      <c r="D757" s="5" t="s">
        <v>12</v>
      </c>
      <c r="E757" s="5" t="s">
        <v>24</v>
      </c>
      <c r="F757" s="5" t="s">
        <v>36</v>
      </c>
      <c r="G757" s="6" t="s">
        <v>37</v>
      </c>
      <c r="H757" s="7">
        <v>13900</v>
      </c>
      <c r="I757" s="5" t="s">
        <v>27</v>
      </c>
      <c r="J757" s="5"/>
      <c r="K757" s="22">
        <f t="shared" si="11"/>
        <v>0</v>
      </c>
    </row>
    <row r="758" spans="1:11" x14ac:dyDescent="0.45">
      <c r="A758" s="2" t="s">
        <v>851</v>
      </c>
      <c r="B758" s="2">
        <v>9</v>
      </c>
      <c r="C758" s="2" t="s">
        <v>40</v>
      </c>
      <c r="D758" s="2" t="s">
        <v>41</v>
      </c>
      <c r="E758" s="2" t="s">
        <v>71</v>
      </c>
      <c r="F758" s="2" t="s">
        <v>88</v>
      </c>
      <c r="G758" s="3" t="s">
        <v>258</v>
      </c>
      <c r="H758" s="4">
        <v>11900</v>
      </c>
      <c r="I758" s="2" t="s">
        <v>72</v>
      </c>
      <c r="J758" s="2" t="s">
        <v>108</v>
      </c>
      <c r="K758" s="22">
        <f t="shared" si="11"/>
        <v>1</v>
      </c>
    </row>
    <row r="759" spans="1:11" x14ac:dyDescent="0.45">
      <c r="A759" s="5" t="s">
        <v>852</v>
      </c>
      <c r="B759" s="5">
        <v>10</v>
      </c>
      <c r="C759" s="5" t="s">
        <v>40</v>
      </c>
      <c r="D759" s="5" t="s">
        <v>30</v>
      </c>
      <c r="E759" s="5" t="s">
        <v>35</v>
      </c>
      <c r="F759" s="5" t="s">
        <v>105</v>
      </c>
      <c r="G759" s="6" t="s">
        <v>150</v>
      </c>
      <c r="H759" s="7">
        <v>31600</v>
      </c>
      <c r="I759" s="5" t="s">
        <v>38</v>
      </c>
      <c r="J759" s="5"/>
      <c r="K759" s="22">
        <f t="shared" si="11"/>
        <v>0</v>
      </c>
    </row>
    <row r="760" spans="1:11" x14ac:dyDescent="0.45">
      <c r="A760" s="2" t="s">
        <v>853</v>
      </c>
      <c r="B760" s="2">
        <v>11</v>
      </c>
      <c r="C760" s="2" t="s">
        <v>29</v>
      </c>
      <c r="D760" s="2" t="s">
        <v>30</v>
      </c>
      <c r="E760" s="2" t="s">
        <v>13</v>
      </c>
      <c r="F760" s="2" t="s">
        <v>63</v>
      </c>
      <c r="G760" s="3" t="s">
        <v>64</v>
      </c>
      <c r="H760" s="4">
        <v>12900</v>
      </c>
      <c r="I760" s="2" t="s">
        <v>16</v>
      </c>
      <c r="J760" s="2"/>
      <c r="K760" s="22">
        <f t="shared" si="11"/>
        <v>0</v>
      </c>
    </row>
    <row r="761" spans="1:11" x14ac:dyDescent="0.45">
      <c r="A761" s="5" t="s">
        <v>854</v>
      </c>
      <c r="B761" s="5">
        <v>12</v>
      </c>
      <c r="C761" s="5" t="s">
        <v>34</v>
      </c>
      <c r="D761" s="5" t="s">
        <v>30</v>
      </c>
      <c r="E761" s="5" t="s">
        <v>71</v>
      </c>
      <c r="F761" s="5" t="s">
        <v>14</v>
      </c>
      <c r="G761" s="6" t="s">
        <v>48</v>
      </c>
      <c r="H761" s="7">
        <v>153500</v>
      </c>
      <c r="I761" s="5" t="s">
        <v>72</v>
      </c>
      <c r="J761" s="5"/>
      <c r="K761" s="22">
        <f t="shared" si="11"/>
        <v>0</v>
      </c>
    </row>
    <row r="762" spans="1:11" x14ac:dyDescent="0.45">
      <c r="A762" s="2" t="s">
        <v>855</v>
      </c>
      <c r="B762" s="2">
        <v>12</v>
      </c>
      <c r="C762" s="2" t="s">
        <v>34</v>
      </c>
      <c r="D762" s="2" t="s">
        <v>30</v>
      </c>
      <c r="E762" s="2" t="s">
        <v>35</v>
      </c>
      <c r="F762" s="2" t="s">
        <v>105</v>
      </c>
      <c r="G762" s="3" t="s">
        <v>150</v>
      </c>
      <c r="H762" s="4">
        <v>5800</v>
      </c>
      <c r="I762" s="2" t="s">
        <v>38</v>
      </c>
      <c r="J762" s="2" t="s">
        <v>108</v>
      </c>
      <c r="K762" s="22">
        <f t="shared" si="11"/>
        <v>1</v>
      </c>
    </row>
    <row r="763" spans="1:11" x14ac:dyDescent="0.45">
      <c r="A763" s="5" t="s">
        <v>856</v>
      </c>
      <c r="B763" s="5">
        <v>6</v>
      </c>
      <c r="C763" s="5" t="s">
        <v>78</v>
      </c>
      <c r="D763" s="5" t="s">
        <v>23</v>
      </c>
      <c r="E763" s="5" t="s">
        <v>71</v>
      </c>
      <c r="F763" s="5" t="s">
        <v>63</v>
      </c>
      <c r="G763" s="6" t="s">
        <v>64</v>
      </c>
      <c r="H763" s="7">
        <v>28200</v>
      </c>
      <c r="I763" s="5" t="s">
        <v>72</v>
      </c>
      <c r="J763" s="5"/>
      <c r="K763" s="22">
        <f t="shared" si="11"/>
        <v>0</v>
      </c>
    </row>
    <row r="764" spans="1:11" x14ac:dyDescent="0.45">
      <c r="A764" s="2" t="s">
        <v>857</v>
      </c>
      <c r="B764" s="2">
        <v>2</v>
      </c>
      <c r="C764" s="2" t="s">
        <v>11</v>
      </c>
      <c r="D764" s="2" t="s">
        <v>12</v>
      </c>
      <c r="E764" s="2" t="s">
        <v>19</v>
      </c>
      <c r="F764" s="2" t="s">
        <v>31</v>
      </c>
      <c r="G764" s="3" t="s">
        <v>32</v>
      </c>
      <c r="H764" s="4">
        <v>38800</v>
      </c>
      <c r="I764" s="2" t="s">
        <v>20</v>
      </c>
      <c r="J764" s="2"/>
      <c r="K764" s="22">
        <f t="shared" si="11"/>
        <v>0</v>
      </c>
    </row>
    <row r="765" spans="1:11" x14ac:dyDescent="0.45">
      <c r="A765" s="5" t="s">
        <v>858</v>
      </c>
      <c r="B765" s="5">
        <v>10</v>
      </c>
      <c r="C765" s="5" t="s">
        <v>40</v>
      </c>
      <c r="D765" s="5" t="s">
        <v>30</v>
      </c>
      <c r="E765" s="5" t="s">
        <v>24</v>
      </c>
      <c r="F765" s="5" t="s">
        <v>44</v>
      </c>
      <c r="G765" s="6" t="s">
        <v>123</v>
      </c>
      <c r="H765" s="7">
        <v>80700</v>
      </c>
      <c r="I765" s="5" t="s">
        <v>27</v>
      </c>
      <c r="J765" s="5"/>
      <c r="K765" s="22">
        <f t="shared" si="11"/>
        <v>0</v>
      </c>
    </row>
    <row r="766" spans="1:11" x14ac:dyDescent="0.45">
      <c r="A766" s="2" t="s">
        <v>859</v>
      </c>
      <c r="B766" s="2">
        <v>5</v>
      </c>
      <c r="C766" s="2" t="s">
        <v>22</v>
      </c>
      <c r="D766" s="2" t="s">
        <v>23</v>
      </c>
      <c r="E766" s="2" t="s">
        <v>35</v>
      </c>
      <c r="F766" s="2" t="s">
        <v>14</v>
      </c>
      <c r="G766" s="3" t="s">
        <v>48</v>
      </c>
      <c r="H766" s="4">
        <v>3700</v>
      </c>
      <c r="I766" s="2" t="s">
        <v>38</v>
      </c>
      <c r="J766" s="2"/>
      <c r="K766" s="22">
        <f t="shared" si="11"/>
        <v>0</v>
      </c>
    </row>
    <row r="767" spans="1:11" x14ac:dyDescent="0.45">
      <c r="A767" s="5" t="s">
        <v>860</v>
      </c>
      <c r="B767" s="5">
        <v>6</v>
      </c>
      <c r="C767" s="5" t="s">
        <v>78</v>
      </c>
      <c r="D767" s="5" t="s">
        <v>23</v>
      </c>
      <c r="E767" s="5" t="s">
        <v>13</v>
      </c>
      <c r="F767" s="5" t="s">
        <v>102</v>
      </c>
      <c r="G767" s="6" t="s">
        <v>243</v>
      </c>
      <c r="H767" s="7">
        <v>65700</v>
      </c>
      <c r="I767" s="5" t="s">
        <v>16</v>
      </c>
      <c r="J767" s="5"/>
      <c r="K767" s="22">
        <f t="shared" si="11"/>
        <v>0</v>
      </c>
    </row>
    <row r="768" spans="1:11" x14ac:dyDescent="0.45">
      <c r="A768" s="2" t="s">
        <v>861</v>
      </c>
      <c r="B768" s="2">
        <v>1</v>
      </c>
      <c r="C768" s="2" t="s">
        <v>66</v>
      </c>
      <c r="D768" s="2" t="s">
        <v>12</v>
      </c>
      <c r="E768" s="2" t="s">
        <v>13</v>
      </c>
      <c r="F768" s="2" t="s">
        <v>63</v>
      </c>
      <c r="G768" s="3" t="s">
        <v>69</v>
      </c>
      <c r="H768" s="4">
        <v>2000</v>
      </c>
      <c r="I768" s="2" t="s">
        <v>16</v>
      </c>
      <c r="J768" s="2"/>
      <c r="K768" s="22">
        <f t="shared" si="11"/>
        <v>0</v>
      </c>
    </row>
    <row r="769" spans="1:11" x14ac:dyDescent="0.45">
      <c r="A769" s="5" t="s">
        <v>862</v>
      </c>
      <c r="B769" s="5">
        <v>7</v>
      </c>
      <c r="C769" s="5" t="s">
        <v>56</v>
      </c>
      <c r="D769" s="5" t="s">
        <v>41</v>
      </c>
      <c r="E769" s="5" t="s">
        <v>35</v>
      </c>
      <c r="F769" s="5" t="s">
        <v>36</v>
      </c>
      <c r="G769" s="6" t="s">
        <v>37</v>
      </c>
      <c r="H769" s="7">
        <v>400</v>
      </c>
      <c r="I769" s="5" t="s">
        <v>38</v>
      </c>
      <c r="J769" s="5"/>
      <c r="K769" s="22">
        <f t="shared" si="11"/>
        <v>0</v>
      </c>
    </row>
    <row r="770" spans="1:11" x14ac:dyDescent="0.45">
      <c r="A770" s="2" t="s">
        <v>863</v>
      </c>
      <c r="B770" s="2">
        <v>11</v>
      </c>
      <c r="C770" s="2" t="s">
        <v>29</v>
      </c>
      <c r="D770" s="2" t="s">
        <v>30</v>
      </c>
      <c r="E770" s="2" t="s">
        <v>35</v>
      </c>
      <c r="F770" s="2" t="s">
        <v>36</v>
      </c>
      <c r="G770" s="3" t="s">
        <v>111</v>
      </c>
      <c r="H770" s="4">
        <v>4800</v>
      </c>
      <c r="I770" s="2" t="s">
        <v>38</v>
      </c>
      <c r="J770" s="2"/>
      <c r="K770" s="22">
        <f t="shared" si="11"/>
        <v>0</v>
      </c>
    </row>
    <row r="771" spans="1:11" x14ac:dyDescent="0.45">
      <c r="A771" s="5" t="s">
        <v>864</v>
      </c>
      <c r="B771" s="5">
        <v>8</v>
      </c>
      <c r="C771" s="5" t="s">
        <v>60</v>
      </c>
      <c r="D771" s="5" t="s">
        <v>41</v>
      </c>
      <c r="E771" s="5" t="s">
        <v>71</v>
      </c>
      <c r="F771" s="5" t="s">
        <v>94</v>
      </c>
      <c r="G771" s="6" t="s">
        <v>95</v>
      </c>
      <c r="H771" s="7">
        <v>9700</v>
      </c>
      <c r="I771" s="5" t="s">
        <v>72</v>
      </c>
      <c r="J771" s="5"/>
      <c r="K771" s="22">
        <f t="shared" ref="K771:K834" si="12">IF(J771=$N$2,0,IF(J771=$N$3,1,IF(J771=$N$4,2)))</f>
        <v>0</v>
      </c>
    </row>
    <row r="772" spans="1:11" x14ac:dyDescent="0.45">
      <c r="A772" s="2" t="s">
        <v>865</v>
      </c>
      <c r="B772" s="2">
        <v>11</v>
      </c>
      <c r="C772" s="2" t="s">
        <v>29</v>
      </c>
      <c r="D772" s="2" t="s">
        <v>30</v>
      </c>
      <c r="E772" s="2" t="s">
        <v>57</v>
      </c>
      <c r="F772" s="2" t="s">
        <v>75</v>
      </c>
      <c r="G772" s="3" t="s">
        <v>76</v>
      </c>
      <c r="H772" s="4">
        <v>2100</v>
      </c>
      <c r="I772" s="2" t="s">
        <v>58</v>
      </c>
      <c r="J772" s="2"/>
      <c r="K772" s="22">
        <f t="shared" si="12"/>
        <v>0</v>
      </c>
    </row>
    <row r="773" spans="1:11" x14ac:dyDescent="0.45">
      <c r="A773" s="5" t="s">
        <v>866</v>
      </c>
      <c r="B773" s="5">
        <v>7</v>
      </c>
      <c r="C773" s="5" t="s">
        <v>56</v>
      </c>
      <c r="D773" s="5" t="s">
        <v>41</v>
      </c>
      <c r="E773" s="5" t="s">
        <v>71</v>
      </c>
      <c r="F773" s="5" t="s">
        <v>94</v>
      </c>
      <c r="G773" s="6" t="s">
        <v>157</v>
      </c>
      <c r="H773" s="7">
        <v>4500</v>
      </c>
      <c r="I773" s="5" t="s">
        <v>72</v>
      </c>
      <c r="J773" s="5"/>
      <c r="K773" s="22">
        <f t="shared" si="12"/>
        <v>0</v>
      </c>
    </row>
    <row r="774" spans="1:11" x14ac:dyDescent="0.45">
      <c r="A774" s="2" t="s">
        <v>867</v>
      </c>
      <c r="B774" s="2">
        <v>8</v>
      </c>
      <c r="C774" s="2" t="s">
        <v>60</v>
      </c>
      <c r="D774" s="2" t="s">
        <v>41</v>
      </c>
      <c r="E774" s="2" t="s">
        <v>19</v>
      </c>
      <c r="F774" s="2" t="s">
        <v>14</v>
      </c>
      <c r="G774" s="3" t="s">
        <v>15</v>
      </c>
      <c r="H774" s="4">
        <v>129300</v>
      </c>
      <c r="I774" s="2" t="s">
        <v>20</v>
      </c>
      <c r="J774" s="2"/>
      <c r="K774" s="22">
        <f t="shared" si="12"/>
        <v>0</v>
      </c>
    </row>
    <row r="775" spans="1:11" x14ac:dyDescent="0.45">
      <c r="A775" s="5" t="s">
        <v>868</v>
      </c>
      <c r="B775" s="5">
        <v>12</v>
      </c>
      <c r="C775" s="5" t="s">
        <v>34</v>
      </c>
      <c r="D775" s="5" t="s">
        <v>30</v>
      </c>
      <c r="E775" s="5" t="s">
        <v>57</v>
      </c>
      <c r="F775" s="5" t="s">
        <v>85</v>
      </c>
      <c r="G775" s="6" t="s">
        <v>159</v>
      </c>
      <c r="H775" s="7">
        <v>6400</v>
      </c>
      <c r="I775" s="5" t="s">
        <v>58</v>
      </c>
      <c r="J775" s="5"/>
      <c r="K775" s="22">
        <f t="shared" si="12"/>
        <v>0</v>
      </c>
    </row>
    <row r="776" spans="1:11" x14ac:dyDescent="0.45">
      <c r="A776" s="2" t="s">
        <v>869</v>
      </c>
      <c r="B776" s="2">
        <v>8</v>
      </c>
      <c r="C776" s="2" t="s">
        <v>60</v>
      </c>
      <c r="D776" s="2" t="s">
        <v>41</v>
      </c>
      <c r="E776" s="2" t="s">
        <v>13</v>
      </c>
      <c r="F776" s="2" t="s">
        <v>14</v>
      </c>
      <c r="G776" s="3" t="s">
        <v>42</v>
      </c>
      <c r="H776" s="4">
        <v>106200</v>
      </c>
      <c r="I776" s="2" t="s">
        <v>16</v>
      </c>
      <c r="J776" s="2"/>
      <c r="K776" s="22">
        <f t="shared" si="12"/>
        <v>0</v>
      </c>
    </row>
    <row r="777" spans="1:11" x14ac:dyDescent="0.45">
      <c r="A777" s="5" t="s">
        <v>870</v>
      </c>
      <c r="B777" s="5">
        <v>5</v>
      </c>
      <c r="C777" s="5" t="s">
        <v>22</v>
      </c>
      <c r="D777" s="5" t="s">
        <v>23</v>
      </c>
      <c r="E777" s="5" t="s">
        <v>35</v>
      </c>
      <c r="F777" s="5" t="s">
        <v>36</v>
      </c>
      <c r="G777" s="6" t="s">
        <v>126</v>
      </c>
      <c r="H777" s="7">
        <v>10600</v>
      </c>
      <c r="I777" s="5" t="s">
        <v>38</v>
      </c>
      <c r="J777" s="5"/>
      <c r="K777" s="22">
        <f t="shared" si="12"/>
        <v>0</v>
      </c>
    </row>
    <row r="778" spans="1:11" x14ac:dyDescent="0.45">
      <c r="A778" s="2" t="s">
        <v>871</v>
      </c>
      <c r="B778" s="2">
        <v>9</v>
      </c>
      <c r="C778" s="2" t="s">
        <v>40</v>
      </c>
      <c r="D778" s="2" t="s">
        <v>41</v>
      </c>
      <c r="E778" s="2" t="s">
        <v>24</v>
      </c>
      <c r="F778" s="2" t="s">
        <v>25</v>
      </c>
      <c r="G778" s="3" t="s">
        <v>212</v>
      </c>
      <c r="H778" s="4">
        <v>38200</v>
      </c>
      <c r="I778" s="2" t="s">
        <v>27</v>
      </c>
      <c r="J778" s="2"/>
      <c r="K778" s="22">
        <f t="shared" si="12"/>
        <v>0</v>
      </c>
    </row>
    <row r="779" spans="1:11" x14ac:dyDescent="0.45">
      <c r="A779" s="5" t="s">
        <v>872</v>
      </c>
      <c r="B779" s="5">
        <v>5</v>
      </c>
      <c r="C779" s="5" t="s">
        <v>22</v>
      </c>
      <c r="D779" s="5" t="s">
        <v>23</v>
      </c>
      <c r="E779" s="5" t="s">
        <v>13</v>
      </c>
      <c r="F779" s="5" t="s">
        <v>14</v>
      </c>
      <c r="G779" s="6" t="s">
        <v>15</v>
      </c>
      <c r="H779" s="7">
        <v>301200</v>
      </c>
      <c r="I779" s="5" t="s">
        <v>16</v>
      </c>
      <c r="J779" s="5"/>
      <c r="K779" s="22">
        <f t="shared" si="12"/>
        <v>0</v>
      </c>
    </row>
    <row r="780" spans="1:11" x14ac:dyDescent="0.45">
      <c r="A780" s="2" t="s">
        <v>873</v>
      </c>
      <c r="B780" s="2">
        <v>11</v>
      </c>
      <c r="C780" s="2" t="s">
        <v>29</v>
      </c>
      <c r="D780" s="2" t="s">
        <v>30</v>
      </c>
      <c r="E780" s="2" t="s">
        <v>19</v>
      </c>
      <c r="F780" s="2" t="s">
        <v>14</v>
      </c>
      <c r="G780" s="3" t="s">
        <v>42</v>
      </c>
      <c r="H780" s="4">
        <v>166800</v>
      </c>
      <c r="I780" s="2" t="s">
        <v>20</v>
      </c>
      <c r="J780" s="2"/>
      <c r="K780" s="22">
        <f t="shared" si="12"/>
        <v>0</v>
      </c>
    </row>
    <row r="781" spans="1:11" x14ac:dyDescent="0.45">
      <c r="A781" s="5" t="s">
        <v>874</v>
      </c>
      <c r="B781" s="5">
        <v>9</v>
      </c>
      <c r="C781" s="5" t="s">
        <v>40</v>
      </c>
      <c r="D781" s="5" t="s">
        <v>41</v>
      </c>
      <c r="E781" s="5" t="s">
        <v>35</v>
      </c>
      <c r="F781" s="5" t="s">
        <v>105</v>
      </c>
      <c r="G781" s="6" t="s">
        <v>106</v>
      </c>
      <c r="H781" s="7">
        <v>3700</v>
      </c>
      <c r="I781" s="5" t="s">
        <v>38</v>
      </c>
      <c r="J781" s="5"/>
      <c r="K781" s="22">
        <f t="shared" si="12"/>
        <v>0</v>
      </c>
    </row>
    <row r="782" spans="1:11" x14ac:dyDescent="0.45">
      <c r="A782" s="2" t="s">
        <v>875</v>
      </c>
      <c r="B782" s="2">
        <v>12</v>
      </c>
      <c r="C782" s="2" t="s">
        <v>34</v>
      </c>
      <c r="D782" s="2" t="s">
        <v>30</v>
      </c>
      <c r="E782" s="2" t="s">
        <v>35</v>
      </c>
      <c r="F782" s="2" t="s">
        <v>75</v>
      </c>
      <c r="G782" s="3" t="s">
        <v>83</v>
      </c>
      <c r="H782" s="4">
        <v>3100</v>
      </c>
      <c r="I782" s="2" t="s">
        <v>38</v>
      </c>
      <c r="J782" s="2"/>
      <c r="K782" s="22">
        <f t="shared" si="12"/>
        <v>0</v>
      </c>
    </row>
    <row r="783" spans="1:11" x14ac:dyDescent="0.45">
      <c r="A783" s="5" t="s">
        <v>876</v>
      </c>
      <c r="B783" s="5">
        <v>3</v>
      </c>
      <c r="C783" s="5" t="s">
        <v>18</v>
      </c>
      <c r="D783" s="5" t="s">
        <v>12</v>
      </c>
      <c r="E783" s="5" t="s">
        <v>13</v>
      </c>
      <c r="F783" s="5" t="s">
        <v>50</v>
      </c>
      <c r="G783" s="6" t="s">
        <v>51</v>
      </c>
      <c r="H783" s="7">
        <v>7700</v>
      </c>
      <c r="I783" s="5" t="s">
        <v>16</v>
      </c>
      <c r="J783" s="5"/>
      <c r="K783" s="22">
        <f t="shared" si="12"/>
        <v>0</v>
      </c>
    </row>
    <row r="784" spans="1:11" x14ac:dyDescent="0.45">
      <c r="A784" s="2" t="s">
        <v>877</v>
      </c>
      <c r="B784" s="2">
        <v>5</v>
      </c>
      <c r="C784" s="2" t="s">
        <v>22</v>
      </c>
      <c r="D784" s="2" t="s">
        <v>23</v>
      </c>
      <c r="E784" s="2" t="s">
        <v>24</v>
      </c>
      <c r="F784" s="2" t="s">
        <v>44</v>
      </c>
      <c r="G784" s="3" t="s">
        <v>67</v>
      </c>
      <c r="H784" s="4">
        <v>48400</v>
      </c>
      <c r="I784" s="2" t="s">
        <v>27</v>
      </c>
      <c r="J784" s="2"/>
      <c r="K784" s="22">
        <f t="shared" si="12"/>
        <v>0</v>
      </c>
    </row>
    <row r="785" spans="1:11" x14ac:dyDescent="0.45">
      <c r="A785" s="5" t="s">
        <v>878</v>
      </c>
      <c r="B785" s="5">
        <v>9</v>
      </c>
      <c r="C785" s="5" t="s">
        <v>40</v>
      </c>
      <c r="D785" s="5" t="s">
        <v>41</v>
      </c>
      <c r="E785" s="5" t="s">
        <v>35</v>
      </c>
      <c r="F785" s="5" t="s">
        <v>14</v>
      </c>
      <c r="G785" s="6" t="s">
        <v>42</v>
      </c>
      <c r="H785" s="7">
        <v>6000</v>
      </c>
      <c r="I785" s="5" t="s">
        <v>38</v>
      </c>
      <c r="J785" s="5"/>
      <c r="K785" s="22">
        <f t="shared" si="12"/>
        <v>0</v>
      </c>
    </row>
    <row r="786" spans="1:11" x14ac:dyDescent="0.45">
      <c r="A786" s="2" t="s">
        <v>879</v>
      </c>
      <c r="B786" s="2">
        <v>12</v>
      </c>
      <c r="C786" s="2" t="s">
        <v>34</v>
      </c>
      <c r="D786" s="2" t="s">
        <v>30</v>
      </c>
      <c r="E786" s="2" t="s">
        <v>71</v>
      </c>
      <c r="F786" s="2" t="s">
        <v>94</v>
      </c>
      <c r="G786" s="3" t="s">
        <v>138</v>
      </c>
      <c r="H786" s="4">
        <v>2100</v>
      </c>
      <c r="I786" s="2" t="s">
        <v>72</v>
      </c>
      <c r="J786" s="2"/>
      <c r="K786" s="22">
        <f t="shared" si="12"/>
        <v>0</v>
      </c>
    </row>
    <row r="787" spans="1:11" x14ac:dyDescent="0.45">
      <c r="A787" s="5" t="s">
        <v>880</v>
      </c>
      <c r="B787" s="5">
        <v>2</v>
      </c>
      <c r="C787" s="5" t="s">
        <v>11</v>
      </c>
      <c r="D787" s="5" t="s">
        <v>12</v>
      </c>
      <c r="E787" s="5" t="s">
        <v>71</v>
      </c>
      <c r="F787" s="5" t="s">
        <v>94</v>
      </c>
      <c r="G787" s="6" t="s">
        <v>138</v>
      </c>
      <c r="H787" s="7">
        <v>2200</v>
      </c>
      <c r="I787" s="5" t="s">
        <v>72</v>
      </c>
      <c r="J787" s="5"/>
      <c r="K787" s="22">
        <f t="shared" si="12"/>
        <v>0</v>
      </c>
    </row>
    <row r="788" spans="1:11" x14ac:dyDescent="0.45">
      <c r="A788" s="2" t="s">
        <v>881</v>
      </c>
      <c r="B788" s="2">
        <v>12</v>
      </c>
      <c r="C788" s="2" t="s">
        <v>34</v>
      </c>
      <c r="D788" s="2" t="s">
        <v>30</v>
      </c>
      <c r="E788" s="2" t="s">
        <v>71</v>
      </c>
      <c r="F788" s="2" t="s">
        <v>88</v>
      </c>
      <c r="G788" s="3" t="s">
        <v>89</v>
      </c>
      <c r="H788" s="4">
        <v>60300</v>
      </c>
      <c r="I788" s="2" t="s">
        <v>72</v>
      </c>
      <c r="J788" s="2"/>
      <c r="K788" s="22">
        <f t="shared" si="12"/>
        <v>0</v>
      </c>
    </row>
    <row r="789" spans="1:11" x14ac:dyDescent="0.45">
      <c r="A789" s="5" t="s">
        <v>882</v>
      </c>
      <c r="B789" s="5">
        <v>9</v>
      </c>
      <c r="C789" s="5" t="s">
        <v>40</v>
      </c>
      <c r="D789" s="5" t="s">
        <v>41</v>
      </c>
      <c r="E789" s="5" t="s">
        <v>19</v>
      </c>
      <c r="F789" s="5" t="s">
        <v>31</v>
      </c>
      <c r="G789" s="6" t="s">
        <v>81</v>
      </c>
      <c r="H789" s="7">
        <v>5800</v>
      </c>
      <c r="I789" s="5" t="s">
        <v>20</v>
      </c>
      <c r="J789" s="5"/>
      <c r="K789" s="22">
        <f t="shared" si="12"/>
        <v>0</v>
      </c>
    </row>
    <row r="790" spans="1:11" x14ac:dyDescent="0.45">
      <c r="A790" s="2" t="s">
        <v>883</v>
      </c>
      <c r="B790" s="2">
        <v>3</v>
      </c>
      <c r="C790" s="2" t="s">
        <v>18</v>
      </c>
      <c r="D790" s="2" t="s">
        <v>12</v>
      </c>
      <c r="E790" s="2" t="s">
        <v>57</v>
      </c>
      <c r="F790" s="2" t="s">
        <v>85</v>
      </c>
      <c r="G790" s="3" t="s">
        <v>86</v>
      </c>
      <c r="H790" s="4">
        <v>15600</v>
      </c>
      <c r="I790" s="2" t="s">
        <v>58</v>
      </c>
      <c r="J790" s="2"/>
      <c r="K790" s="22">
        <f t="shared" si="12"/>
        <v>0</v>
      </c>
    </row>
    <row r="791" spans="1:11" x14ac:dyDescent="0.45">
      <c r="A791" s="5" t="s">
        <v>884</v>
      </c>
      <c r="B791" s="5">
        <v>7</v>
      </c>
      <c r="C791" s="5" t="s">
        <v>56</v>
      </c>
      <c r="D791" s="5" t="s">
        <v>41</v>
      </c>
      <c r="E791" s="5" t="s">
        <v>19</v>
      </c>
      <c r="F791" s="5" t="s">
        <v>14</v>
      </c>
      <c r="G791" s="6" t="s">
        <v>15</v>
      </c>
      <c r="H791" s="7">
        <v>33400</v>
      </c>
      <c r="I791" s="5" t="s">
        <v>20</v>
      </c>
      <c r="J791" s="5"/>
      <c r="K791" s="22">
        <f t="shared" si="12"/>
        <v>0</v>
      </c>
    </row>
    <row r="792" spans="1:11" x14ac:dyDescent="0.45">
      <c r="A792" s="2" t="s">
        <v>885</v>
      </c>
      <c r="B792" s="2">
        <v>8</v>
      </c>
      <c r="C792" s="2" t="s">
        <v>60</v>
      </c>
      <c r="D792" s="2" t="s">
        <v>41</v>
      </c>
      <c r="E792" s="2" t="s">
        <v>13</v>
      </c>
      <c r="F792" s="2" t="s">
        <v>63</v>
      </c>
      <c r="G792" s="3" t="s">
        <v>64</v>
      </c>
      <c r="H792" s="4">
        <v>600</v>
      </c>
      <c r="I792" s="2" t="s">
        <v>16</v>
      </c>
      <c r="J792" s="2"/>
      <c r="K792" s="22">
        <f t="shared" si="12"/>
        <v>0</v>
      </c>
    </row>
    <row r="793" spans="1:11" x14ac:dyDescent="0.45">
      <c r="A793" s="5" t="s">
        <v>886</v>
      </c>
      <c r="B793" s="5">
        <v>7</v>
      </c>
      <c r="C793" s="5" t="s">
        <v>56</v>
      </c>
      <c r="D793" s="5" t="s">
        <v>41</v>
      </c>
      <c r="E793" s="5" t="s">
        <v>35</v>
      </c>
      <c r="F793" s="5" t="s">
        <v>36</v>
      </c>
      <c r="G793" s="6" t="s">
        <v>126</v>
      </c>
      <c r="H793" s="7">
        <v>15800</v>
      </c>
      <c r="I793" s="5" t="s">
        <v>38</v>
      </c>
      <c r="J793" s="5"/>
      <c r="K793" s="22">
        <f t="shared" si="12"/>
        <v>0</v>
      </c>
    </row>
    <row r="794" spans="1:11" x14ac:dyDescent="0.45">
      <c r="A794" s="2" t="s">
        <v>887</v>
      </c>
      <c r="B794" s="2">
        <v>5</v>
      </c>
      <c r="C794" s="2" t="s">
        <v>22</v>
      </c>
      <c r="D794" s="2" t="s">
        <v>23</v>
      </c>
      <c r="E794" s="2" t="s">
        <v>35</v>
      </c>
      <c r="F794" s="2" t="s">
        <v>14</v>
      </c>
      <c r="G794" s="3" t="s">
        <v>48</v>
      </c>
      <c r="H794" s="4">
        <v>271000</v>
      </c>
      <c r="I794" s="2" t="s">
        <v>38</v>
      </c>
      <c r="J794" s="2"/>
      <c r="K794" s="22">
        <f t="shared" si="12"/>
        <v>0</v>
      </c>
    </row>
    <row r="795" spans="1:11" x14ac:dyDescent="0.45">
      <c r="A795" s="5" t="s">
        <v>888</v>
      </c>
      <c r="B795" s="5">
        <v>11</v>
      </c>
      <c r="C795" s="5" t="s">
        <v>29</v>
      </c>
      <c r="D795" s="5" t="s">
        <v>30</v>
      </c>
      <c r="E795" s="5" t="s">
        <v>57</v>
      </c>
      <c r="F795" s="5" t="s">
        <v>63</v>
      </c>
      <c r="G795" s="6" t="s">
        <v>97</v>
      </c>
      <c r="H795" s="7">
        <v>100</v>
      </c>
      <c r="I795" s="5" t="s">
        <v>58</v>
      </c>
      <c r="J795" s="5"/>
      <c r="K795" s="22">
        <f t="shared" si="12"/>
        <v>0</v>
      </c>
    </row>
    <row r="796" spans="1:11" x14ac:dyDescent="0.45">
      <c r="A796" s="2" t="s">
        <v>889</v>
      </c>
      <c r="B796" s="2">
        <v>2</v>
      </c>
      <c r="C796" s="2" t="s">
        <v>11</v>
      </c>
      <c r="D796" s="2" t="s">
        <v>12</v>
      </c>
      <c r="E796" s="2" t="s">
        <v>71</v>
      </c>
      <c r="F796" s="2" t="s">
        <v>63</v>
      </c>
      <c r="G796" s="3" t="s">
        <v>69</v>
      </c>
      <c r="H796" s="4">
        <v>700</v>
      </c>
      <c r="I796" s="2" t="s">
        <v>72</v>
      </c>
      <c r="J796" s="2"/>
      <c r="K796" s="22">
        <f t="shared" si="12"/>
        <v>0</v>
      </c>
    </row>
    <row r="797" spans="1:11" x14ac:dyDescent="0.45">
      <c r="A797" s="5" t="s">
        <v>890</v>
      </c>
      <c r="B797" s="5">
        <v>1</v>
      </c>
      <c r="C797" s="5" t="s">
        <v>66</v>
      </c>
      <c r="D797" s="5" t="s">
        <v>12</v>
      </c>
      <c r="E797" s="5" t="s">
        <v>19</v>
      </c>
      <c r="F797" s="5" t="s">
        <v>53</v>
      </c>
      <c r="G797" s="6" t="s">
        <v>164</v>
      </c>
      <c r="H797" s="7">
        <v>3300</v>
      </c>
      <c r="I797" s="5" t="s">
        <v>20</v>
      </c>
      <c r="J797" s="5" t="s">
        <v>415</v>
      </c>
      <c r="K797" s="22">
        <f t="shared" si="12"/>
        <v>2</v>
      </c>
    </row>
    <row r="798" spans="1:11" x14ac:dyDescent="0.45">
      <c r="A798" s="2" t="s">
        <v>891</v>
      </c>
      <c r="B798" s="2">
        <v>12</v>
      </c>
      <c r="C798" s="2" t="s">
        <v>34</v>
      </c>
      <c r="D798" s="2" t="s">
        <v>30</v>
      </c>
      <c r="E798" s="2" t="s">
        <v>24</v>
      </c>
      <c r="F798" s="2" t="s">
        <v>25</v>
      </c>
      <c r="G798" s="3" t="s">
        <v>26</v>
      </c>
      <c r="H798" s="4">
        <v>0</v>
      </c>
      <c r="I798" s="2" t="s">
        <v>27</v>
      </c>
      <c r="J798" s="2"/>
      <c r="K798" s="22">
        <f t="shared" si="12"/>
        <v>0</v>
      </c>
    </row>
    <row r="799" spans="1:11" x14ac:dyDescent="0.45">
      <c r="A799" s="5" t="s">
        <v>892</v>
      </c>
      <c r="B799" s="5">
        <v>1</v>
      </c>
      <c r="C799" s="5" t="s">
        <v>66</v>
      </c>
      <c r="D799" s="5" t="s">
        <v>12</v>
      </c>
      <c r="E799" s="5" t="s">
        <v>19</v>
      </c>
      <c r="F799" s="5" t="s">
        <v>31</v>
      </c>
      <c r="G799" s="6" t="s">
        <v>81</v>
      </c>
      <c r="H799" s="7">
        <v>12000</v>
      </c>
      <c r="I799" s="5" t="s">
        <v>20</v>
      </c>
      <c r="J799" s="5"/>
      <c r="K799" s="22">
        <f t="shared" si="12"/>
        <v>0</v>
      </c>
    </row>
    <row r="800" spans="1:11" x14ac:dyDescent="0.45">
      <c r="A800" s="2" t="s">
        <v>893</v>
      </c>
      <c r="B800" s="2">
        <v>8</v>
      </c>
      <c r="C800" s="2" t="s">
        <v>60</v>
      </c>
      <c r="D800" s="2" t="s">
        <v>41</v>
      </c>
      <c r="E800" s="2" t="s">
        <v>57</v>
      </c>
      <c r="F800" s="2" t="s">
        <v>85</v>
      </c>
      <c r="G800" s="3" t="s">
        <v>129</v>
      </c>
      <c r="H800" s="4">
        <v>1700</v>
      </c>
      <c r="I800" s="2" t="s">
        <v>58</v>
      </c>
      <c r="J800" s="2"/>
      <c r="K800" s="22">
        <f t="shared" si="12"/>
        <v>0</v>
      </c>
    </row>
    <row r="801" spans="1:11" x14ac:dyDescent="0.45">
      <c r="A801" s="5" t="s">
        <v>894</v>
      </c>
      <c r="B801" s="5">
        <v>6</v>
      </c>
      <c r="C801" s="5" t="s">
        <v>78</v>
      </c>
      <c r="D801" s="5" t="s">
        <v>23</v>
      </c>
      <c r="E801" s="5" t="s">
        <v>35</v>
      </c>
      <c r="F801" s="5" t="s">
        <v>105</v>
      </c>
      <c r="G801" s="6" t="s">
        <v>150</v>
      </c>
      <c r="H801" s="7">
        <v>6400</v>
      </c>
      <c r="I801" s="5" t="s">
        <v>38</v>
      </c>
      <c r="J801" s="5"/>
      <c r="K801" s="22">
        <f t="shared" si="12"/>
        <v>0</v>
      </c>
    </row>
    <row r="802" spans="1:11" x14ac:dyDescent="0.45">
      <c r="A802" s="2" t="s">
        <v>895</v>
      </c>
      <c r="B802" s="2">
        <v>8</v>
      </c>
      <c r="C802" s="2" t="s">
        <v>60</v>
      </c>
      <c r="D802" s="2" t="s">
        <v>41</v>
      </c>
      <c r="E802" s="2" t="s">
        <v>13</v>
      </c>
      <c r="F802" s="2" t="s">
        <v>14</v>
      </c>
      <c r="G802" s="3" t="s">
        <v>48</v>
      </c>
      <c r="H802" s="4">
        <v>110100</v>
      </c>
      <c r="I802" s="2" t="s">
        <v>16</v>
      </c>
      <c r="J802" s="2"/>
      <c r="K802" s="22">
        <f t="shared" si="12"/>
        <v>0</v>
      </c>
    </row>
    <row r="803" spans="1:11" x14ac:dyDescent="0.45">
      <c r="A803" s="5" t="s">
        <v>896</v>
      </c>
      <c r="B803" s="5">
        <v>9</v>
      </c>
      <c r="C803" s="5" t="s">
        <v>40</v>
      </c>
      <c r="D803" s="5" t="s">
        <v>41</v>
      </c>
      <c r="E803" s="5" t="s">
        <v>19</v>
      </c>
      <c r="F803" s="5" t="s">
        <v>14</v>
      </c>
      <c r="G803" s="6" t="s">
        <v>48</v>
      </c>
      <c r="H803" s="7">
        <v>110300</v>
      </c>
      <c r="I803" s="5" t="s">
        <v>20</v>
      </c>
      <c r="J803" s="5"/>
      <c r="K803" s="22">
        <f t="shared" si="12"/>
        <v>0</v>
      </c>
    </row>
    <row r="804" spans="1:11" x14ac:dyDescent="0.45">
      <c r="A804" s="2" t="s">
        <v>897</v>
      </c>
      <c r="B804" s="2">
        <v>3</v>
      </c>
      <c r="C804" s="2" t="s">
        <v>18</v>
      </c>
      <c r="D804" s="2" t="s">
        <v>12</v>
      </c>
      <c r="E804" s="2" t="s">
        <v>35</v>
      </c>
      <c r="F804" s="2" t="s">
        <v>105</v>
      </c>
      <c r="G804" s="3" t="s">
        <v>133</v>
      </c>
      <c r="H804" s="4">
        <v>400</v>
      </c>
      <c r="I804" s="2" t="s">
        <v>38</v>
      </c>
      <c r="J804" s="2" t="s">
        <v>108</v>
      </c>
      <c r="K804" s="22">
        <f t="shared" si="12"/>
        <v>1</v>
      </c>
    </row>
    <row r="805" spans="1:11" x14ac:dyDescent="0.45">
      <c r="A805" s="5" t="s">
        <v>898</v>
      </c>
      <c r="B805" s="5">
        <v>3</v>
      </c>
      <c r="C805" s="5" t="s">
        <v>18</v>
      </c>
      <c r="D805" s="5" t="s">
        <v>12</v>
      </c>
      <c r="E805" s="5" t="s">
        <v>57</v>
      </c>
      <c r="F805" s="5" t="s">
        <v>14</v>
      </c>
      <c r="G805" s="6" t="s">
        <v>42</v>
      </c>
      <c r="H805" s="7">
        <v>185400</v>
      </c>
      <c r="I805" s="5" t="s">
        <v>58</v>
      </c>
      <c r="J805" s="5"/>
      <c r="K805" s="22">
        <f t="shared" si="12"/>
        <v>0</v>
      </c>
    </row>
    <row r="806" spans="1:11" x14ac:dyDescent="0.45">
      <c r="A806" s="2" t="s">
        <v>899</v>
      </c>
      <c r="B806" s="2">
        <v>11</v>
      </c>
      <c r="C806" s="2" t="s">
        <v>29</v>
      </c>
      <c r="D806" s="2" t="s">
        <v>30</v>
      </c>
      <c r="E806" s="2" t="s">
        <v>35</v>
      </c>
      <c r="F806" s="2" t="s">
        <v>105</v>
      </c>
      <c r="G806" s="3" t="s">
        <v>133</v>
      </c>
      <c r="H806" s="4">
        <v>5700</v>
      </c>
      <c r="I806" s="2" t="s">
        <v>38</v>
      </c>
      <c r="J806" s="2"/>
      <c r="K806" s="22">
        <f t="shared" si="12"/>
        <v>0</v>
      </c>
    </row>
    <row r="807" spans="1:11" x14ac:dyDescent="0.45">
      <c r="A807" s="5" t="s">
        <v>900</v>
      </c>
      <c r="B807" s="5">
        <v>12</v>
      </c>
      <c r="C807" s="5" t="s">
        <v>34</v>
      </c>
      <c r="D807" s="5" t="s">
        <v>30</v>
      </c>
      <c r="E807" s="5" t="s">
        <v>24</v>
      </c>
      <c r="F807" s="5" t="s">
        <v>44</v>
      </c>
      <c r="G807" s="6" t="s">
        <v>45</v>
      </c>
      <c r="H807" s="7">
        <v>15100</v>
      </c>
      <c r="I807" s="5" t="s">
        <v>27</v>
      </c>
      <c r="J807" s="5"/>
      <c r="K807" s="22">
        <f t="shared" si="12"/>
        <v>0</v>
      </c>
    </row>
    <row r="808" spans="1:11" x14ac:dyDescent="0.45">
      <c r="A808" s="2" t="s">
        <v>901</v>
      </c>
      <c r="B808" s="2">
        <v>8</v>
      </c>
      <c r="C808" s="2" t="s">
        <v>60</v>
      </c>
      <c r="D808" s="2" t="s">
        <v>41</v>
      </c>
      <c r="E808" s="2" t="s">
        <v>71</v>
      </c>
      <c r="F808" s="2" t="s">
        <v>63</v>
      </c>
      <c r="G808" s="3" t="s">
        <v>64</v>
      </c>
      <c r="H808" s="4">
        <v>20900</v>
      </c>
      <c r="I808" s="2" t="s">
        <v>72</v>
      </c>
      <c r="J808" s="2" t="s">
        <v>108</v>
      </c>
      <c r="K808" s="22">
        <f t="shared" si="12"/>
        <v>1</v>
      </c>
    </row>
    <row r="809" spans="1:11" x14ac:dyDescent="0.45">
      <c r="A809" s="5" t="s">
        <v>902</v>
      </c>
      <c r="B809" s="5">
        <v>5</v>
      </c>
      <c r="C809" s="5" t="s">
        <v>22</v>
      </c>
      <c r="D809" s="5" t="s">
        <v>23</v>
      </c>
      <c r="E809" s="5" t="s">
        <v>35</v>
      </c>
      <c r="F809" s="5" t="s">
        <v>75</v>
      </c>
      <c r="G809" s="6" t="s">
        <v>76</v>
      </c>
      <c r="H809" s="7">
        <v>13200</v>
      </c>
      <c r="I809" s="5" t="s">
        <v>38</v>
      </c>
      <c r="J809" s="5"/>
      <c r="K809" s="22">
        <f t="shared" si="12"/>
        <v>0</v>
      </c>
    </row>
    <row r="810" spans="1:11" x14ac:dyDescent="0.45">
      <c r="A810" s="2" t="s">
        <v>903</v>
      </c>
      <c r="B810" s="2">
        <v>6</v>
      </c>
      <c r="C810" s="2" t="s">
        <v>78</v>
      </c>
      <c r="D810" s="2" t="s">
        <v>23</v>
      </c>
      <c r="E810" s="2" t="s">
        <v>13</v>
      </c>
      <c r="F810" s="2" t="s">
        <v>63</v>
      </c>
      <c r="G810" s="3" t="s">
        <v>69</v>
      </c>
      <c r="H810" s="4">
        <v>25600</v>
      </c>
      <c r="I810" s="2" t="s">
        <v>16</v>
      </c>
      <c r="J810" s="2"/>
      <c r="K810" s="22">
        <f t="shared" si="12"/>
        <v>0</v>
      </c>
    </row>
    <row r="811" spans="1:11" x14ac:dyDescent="0.45">
      <c r="A811" s="5" t="s">
        <v>904</v>
      </c>
      <c r="B811" s="5">
        <v>6</v>
      </c>
      <c r="C811" s="5" t="s">
        <v>78</v>
      </c>
      <c r="D811" s="5" t="s">
        <v>23</v>
      </c>
      <c r="E811" s="5" t="s">
        <v>19</v>
      </c>
      <c r="F811" s="5" t="s">
        <v>63</v>
      </c>
      <c r="G811" s="6" t="s">
        <v>64</v>
      </c>
      <c r="H811" s="7">
        <v>15800</v>
      </c>
      <c r="I811" s="5" t="s">
        <v>20</v>
      </c>
      <c r="J811" s="5"/>
      <c r="K811" s="22">
        <f t="shared" si="12"/>
        <v>0</v>
      </c>
    </row>
    <row r="812" spans="1:11" x14ac:dyDescent="0.45">
      <c r="A812" s="2" t="s">
        <v>905</v>
      </c>
      <c r="B812" s="2">
        <v>2</v>
      </c>
      <c r="C812" s="2" t="s">
        <v>11</v>
      </c>
      <c r="D812" s="2" t="s">
        <v>12</v>
      </c>
      <c r="E812" s="2" t="s">
        <v>24</v>
      </c>
      <c r="F812" s="2" t="s">
        <v>25</v>
      </c>
      <c r="G812" s="3" t="s">
        <v>100</v>
      </c>
      <c r="H812" s="4">
        <v>32800</v>
      </c>
      <c r="I812" s="2" t="s">
        <v>27</v>
      </c>
      <c r="J812" s="2"/>
      <c r="K812" s="22">
        <f t="shared" si="12"/>
        <v>0</v>
      </c>
    </row>
    <row r="813" spans="1:11" x14ac:dyDescent="0.45">
      <c r="A813" s="5" t="s">
        <v>906</v>
      </c>
      <c r="B813" s="5">
        <v>2</v>
      </c>
      <c r="C813" s="5" t="s">
        <v>11</v>
      </c>
      <c r="D813" s="5" t="s">
        <v>12</v>
      </c>
      <c r="E813" s="5" t="s">
        <v>35</v>
      </c>
      <c r="F813" s="5" t="s">
        <v>75</v>
      </c>
      <c r="G813" s="6" t="s">
        <v>83</v>
      </c>
      <c r="H813" s="7">
        <v>3300</v>
      </c>
      <c r="I813" s="5" t="s">
        <v>38</v>
      </c>
      <c r="J813" s="5"/>
      <c r="K813" s="22">
        <f t="shared" si="12"/>
        <v>0</v>
      </c>
    </row>
    <row r="814" spans="1:11" x14ac:dyDescent="0.45">
      <c r="A814" s="2" t="s">
        <v>907</v>
      </c>
      <c r="B814" s="2">
        <v>2</v>
      </c>
      <c r="C814" s="2" t="s">
        <v>11</v>
      </c>
      <c r="D814" s="2" t="s">
        <v>12</v>
      </c>
      <c r="E814" s="2" t="s">
        <v>35</v>
      </c>
      <c r="F814" s="2" t="s">
        <v>105</v>
      </c>
      <c r="G814" s="3" t="s">
        <v>133</v>
      </c>
      <c r="H814" s="4">
        <v>11200</v>
      </c>
      <c r="I814" s="2" t="s">
        <v>38</v>
      </c>
      <c r="J814" s="2"/>
      <c r="K814" s="22">
        <f t="shared" si="12"/>
        <v>0</v>
      </c>
    </row>
    <row r="815" spans="1:11" x14ac:dyDescent="0.45">
      <c r="A815" s="5" t="s">
        <v>908</v>
      </c>
      <c r="B815" s="5">
        <v>9</v>
      </c>
      <c r="C815" s="5" t="s">
        <v>40</v>
      </c>
      <c r="D815" s="5" t="s">
        <v>41</v>
      </c>
      <c r="E815" s="5" t="s">
        <v>19</v>
      </c>
      <c r="F815" s="5" t="s">
        <v>63</v>
      </c>
      <c r="G815" s="6" t="s">
        <v>64</v>
      </c>
      <c r="H815" s="7">
        <v>8400</v>
      </c>
      <c r="I815" s="5" t="s">
        <v>20</v>
      </c>
      <c r="J815" s="5"/>
      <c r="K815" s="22">
        <f t="shared" si="12"/>
        <v>0</v>
      </c>
    </row>
    <row r="816" spans="1:11" x14ac:dyDescent="0.45">
      <c r="A816" s="2" t="s">
        <v>909</v>
      </c>
      <c r="B816" s="2">
        <v>10</v>
      </c>
      <c r="C816" s="2" t="s">
        <v>40</v>
      </c>
      <c r="D816" s="2" t="s">
        <v>30</v>
      </c>
      <c r="E816" s="2" t="s">
        <v>19</v>
      </c>
      <c r="F816" s="2" t="s">
        <v>31</v>
      </c>
      <c r="G816" s="3" t="s">
        <v>32</v>
      </c>
      <c r="H816" s="4">
        <v>2100</v>
      </c>
      <c r="I816" s="2" t="s">
        <v>20</v>
      </c>
      <c r="J816" s="2"/>
      <c r="K816" s="22">
        <f t="shared" si="12"/>
        <v>0</v>
      </c>
    </row>
    <row r="817" spans="1:11" x14ac:dyDescent="0.45">
      <c r="A817" s="5" t="s">
        <v>910</v>
      </c>
      <c r="B817" s="5">
        <v>9</v>
      </c>
      <c r="C817" s="5" t="s">
        <v>40</v>
      </c>
      <c r="D817" s="5" t="s">
        <v>41</v>
      </c>
      <c r="E817" s="5" t="s">
        <v>35</v>
      </c>
      <c r="F817" s="5" t="s">
        <v>75</v>
      </c>
      <c r="G817" s="6" t="s">
        <v>83</v>
      </c>
      <c r="H817" s="7">
        <v>8800</v>
      </c>
      <c r="I817" s="5" t="s">
        <v>38</v>
      </c>
      <c r="J817" s="5"/>
      <c r="K817" s="22">
        <f t="shared" si="12"/>
        <v>0</v>
      </c>
    </row>
    <row r="818" spans="1:11" x14ac:dyDescent="0.45">
      <c r="A818" s="2" t="s">
        <v>911</v>
      </c>
      <c r="B818" s="2">
        <v>4</v>
      </c>
      <c r="C818" s="2" t="s">
        <v>47</v>
      </c>
      <c r="D818" s="2" t="s">
        <v>23</v>
      </c>
      <c r="E818" s="2" t="s">
        <v>71</v>
      </c>
      <c r="F818" s="2" t="s">
        <v>63</v>
      </c>
      <c r="G818" s="3" t="s">
        <v>69</v>
      </c>
      <c r="H818" s="4">
        <v>4300</v>
      </c>
      <c r="I818" s="2" t="s">
        <v>72</v>
      </c>
      <c r="J818" s="2"/>
      <c r="K818" s="22">
        <f t="shared" si="12"/>
        <v>0</v>
      </c>
    </row>
    <row r="819" spans="1:11" x14ac:dyDescent="0.45">
      <c r="A819" s="5" t="s">
        <v>912</v>
      </c>
      <c r="B819" s="5">
        <v>8</v>
      </c>
      <c r="C819" s="5" t="s">
        <v>60</v>
      </c>
      <c r="D819" s="5" t="s">
        <v>41</v>
      </c>
      <c r="E819" s="5" t="s">
        <v>35</v>
      </c>
      <c r="F819" s="5" t="s">
        <v>75</v>
      </c>
      <c r="G819" s="6" t="s">
        <v>83</v>
      </c>
      <c r="H819" s="7">
        <v>9700</v>
      </c>
      <c r="I819" s="5" t="s">
        <v>38</v>
      </c>
      <c r="J819" s="5"/>
      <c r="K819" s="22">
        <f t="shared" si="12"/>
        <v>0</v>
      </c>
    </row>
    <row r="820" spans="1:11" x14ac:dyDescent="0.45">
      <c r="A820" s="2" t="s">
        <v>913</v>
      </c>
      <c r="B820" s="2">
        <v>12</v>
      </c>
      <c r="C820" s="2" t="s">
        <v>34</v>
      </c>
      <c r="D820" s="2" t="s">
        <v>30</v>
      </c>
      <c r="E820" s="2" t="s">
        <v>19</v>
      </c>
      <c r="F820" s="2" t="s">
        <v>14</v>
      </c>
      <c r="G820" s="3" t="s">
        <v>42</v>
      </c>
      <c r="H820" s="4">
        <v>105200</v>
      </c>
      <c r="I820" s="2" t="s">
        <v>20</v>
      </c>
      <c r="J820" s="2"/>
      <c r="K820" s="22">
        <f t="shared" si="12"/>
        <v>0</v>
      </c>
    </row>
    <row r="821" spans="1:11" x14ac:dyDescent="0.45">
      <c r="A821" s="5" t="s">
        <v>914</v>
      </c>
      <c r="B821" s="5">
        <v>7</v>
      </c>
      <c r="C821" s="5" t="s">
        <v>56</v>
      </c>
      <c r="D821" s="5" t="s">
        <v>41</v>
      </c>
      <c r="E821" s="5" t="s">
        <v>24</v>
      </c>
      <c r="F821" s="5" t="s">
        <v>44</v>
      </c>
      <c r="G821" s="6" t="s">
        <v>67</v>
      </c>
      <c r="H821" s="7">
        <v>60800</v>
      </c>
      <c r="I821" s="5" t="s">
        <v>27</v>
      </c>
      <c r="J821" s="5"/>
      <c r="K821" s="22">
        <f t="shared" si="12"/>
        <v>0</v>
      </c>
    </row>
    <row r="822" spans="1:11" x14ac:dyDescent="0.45">
      <c r="A822" s="2" t="s">
        <v>915</v>
      </c>
      <c r="B822" s="2">
        <v>8</v>
      </c>
      <c r="C822" s="2" t="s">
        <v>60</v>
      </c>
      <c r="D822" s="2" t="s">
        <v>41</v>
      </c>
      <c r="E822" s="2" t="s">
        <v>57</v>
      </c>
      <c r="F822" s="2" t="s">
        <v>63</v>
      </c>
      <c r="G822" s="3" t="s">
        <v>64</v>
      </c>
      <c r="H822" s="4">
        <v>2100</v>
      </c>
      <c r="I822" s="2" t="s">
        <v>58</v>
      </c>
      <c r="J822" s="2"/>
      <c r="K822" s="22">
        <f t="shared" si="12"/>
        <v>0</v>
      </c>
    </row>
    <row r="823" spans="1:11" x14ac:dyDescent="0.45">
      <c r="A823" s="5" t="s">
        <v>916</v>
      </c>
      <c r="B823" s="5">
        <v>6</v>
      </c>
      <c r="C823" s="5" t="s">
        <v>78</v>
      </c>
      <c r="D823" s="5" t="s">
        <v>23</v>
      </c>
      <c r="E823" s="5" t="s">
        <v>19</v>
      </c>
      <c r="F823" s="5" t="s">
        <v>53</v>
      </c>
      <c r="G823" s="6" t="s">
        <v>164</v>
      </c>
      <c r="H823" s="7">
        <v>17000</v>
      </c>
      <c r="I823" s="5" t="s">
        <v>20</v>
      </c>
      <c r="J823" s="5"/>
      <c r="K823" s="22">
        <f t="shared" si="12"/>
        <v>0</v>
      </c>
    </row>
    <row r="824" spans="1:11" x14ac:dyDescent="0.45">
      <c r="A824" s="2" t="s">
        <v>917</v>
      </c>
      <c r="B824" s="2">
        <v>2</v>
      </c>
      <c r="C824" s="2" t="s">
        <v>11</v>
      </c>
      <c r="D824" s="2" t="s">
        <v>12</v>
      </c>
      <c r="E824" s="2" t="s">
        <v>57</v>
      </c>
      <c r="F824" s="2" t="s">
        <v>75</v>
      </c>
      <c r="G824" s="3" t="s">
        <v>76</v>
      </c>
      <c r="H824" s="4">
        <v>12700</v>
      </c>
      <c r="I824" s="2" t="s">
        <v>58</v>
      </c>
      <c r="J824" s="2"/>
      <c r="K824" s="22">
        <f t="shared" si="12"/>
        <v>0</v>
      </c>
    </row>
    <row r="825" spans="1:11" x14ac:dyDescent="0.45">
      <c r="A825" s="5" t="s">
        <v>918</v>
      </c>
      <c r="B825" s="5">
        <v>5</v>
      </c>
      <c r="C825" s="5" t="s">
        <v>22</v>
      </c>
      <c r="D825" s="5" t="s">
        <v>23</v>
      </c>
      <c r="E825" s="5" t="s">
        <v>57</v>
      </c>
      <c r="F825" s="5" t="s">
        <v>75</v>
      </c>
      <c r="G825" s="6" t="s">
        <v>76</v>
      </c>
      <c r="H825" s="7">
        <v>3500</v>
      </c>
      <c r="I825" s="5" t="s">
        <v>58</v>
      </c>
      <c r="J825" s="5"/>
      <c r="K825" s="22">
        <f t="shared" si="12"/>
        <v>0</v>
      </c>
    </row>
    <row r="826" spans="1:11" x14ac:dyDescent="0.45">
      <c r="A826" s="2" t="s">
        <v>919</v>
      </c>
      <c r="B826" s="2">
        <v>8</v>
      </c>
      <c r="C826" s="2" t="s">
        <v>60</v>
      </c>
      <c r="D826" s="2" t="s">
        <v>41</v>
      </c>
      <c r="E826" s="2" t="s">
        <v>71</v>
      </c>
      <c r="F826" s="2" t="s">
        <v>14</v>
      </c>
      <c r="G826" s="3" t="s">
        <v>42</v>
      </c>
      <c r="H826" s="4">
        <v>167500</v>
      </c>
      <c r="I826" s="2" t="s">
        <v>72</v>
      </c>
      <c r="J826" s="2"/>
      <c r="K826" s="22">
        <f t="shared" si="12"/>
        <v>0</v>
      </c>
    </row>
    <row r="827" spans="1:11" x14ac:dyDescent="0.45">
      <c r="A827" s="5" t="s">
        <v>920</v>
      </c>
      <c r="B827" s="5">
        <v>6</v>
      </c>
      <c r="C827" s="5" t="s">
        <v>78</v>
      </c>
      <c r="D827" s="5" t="s">
        <v>23</v>
      </c>
      <c r="E827" s="5" t="s">
        <v>57</v>
      </c>
      <c r="F827" s="5" t="s">
        <v>63</v>
      </c>
      <c r="G827" s="6" t="s">
        <v>64</v>
      </c>
      <c r="H827" s="7">
        <v>12200</v>
      </c>
      <c r="I827" s="5" t="s">
        <v>58</v>
      </c>
      <c r="J827" s="5"/>
      <c r="K827" s="22">
        <f t="shared" si="12"/>
        <v>0</v>
      </c>
    </row>
    <row r="828" spans="1:11" x14ac:dyDescent="0.45">
      <c r="A828" s="2" t="s">
        <v>921</v>
      </c>
      <c r="B828" s="2">
        <v>3</v>
      </c>
      <c r="C828" s="2" t="s">
        <v>18</v>
      </c>
      <c r="D828" s="2" t="s">
        <v>12</v>
      </c>
      <c r="E828" s="2" t="s">
        <v>35</v>
      </c>
      <c r="F828" s="2" t="s">
        <v>14</v>
      </c>
      <c r="G828" s="3" t="s">
        <v>42</v>
      </c>
      <c r="H828" s="4">
        <v>13200</v>
      </c>
      <c r="I828" s="2" t="s">
        <v>38</v>
      </c>
      <c r="J828" s="2"/>
      <c r="K828" s="22">
        <f t="shared" si="12"/>
        <v>0</v>
      </c>
    </row>
    <row r="829" spans="1:11" x14ac:dyDescent="0.45">
      <c r="A829" s="5" t="s">
        <v>922</v>
      </c>
      <c r="B829" s="5">
        <v>8</v>
      </c>
      <c r="C829" s="5" t="s">
        <v>60</v>
      </c>
      <c r="D829" s="5" t="s">
        <v>41</v>
      </c>
      <c r="E829" s="5" t="s">
        <v>71</v>
      </c>
      <c r="F829" s="5" t="s">
        <v>94</v>
      </c>
      <c r="G829" s="6" t="s">
        <v>157</v>
      </c>
      <c r="H829" s="7">
        <v>6900</v>
      </c>
      <c r="I829" s="5" t="s">
        <v>72</v>
      </c>
      <c r="J829" s="5"/>
      <c r="K829" s="22">
        <f t="shared" si="12"/>
        <v>0</v>
      </c>
    </row>
    <row r="830" spans="1:11" x14ac:dyDescent="0.45">
      <c r="A830" s="2" t="s">
        <v>923</v>
      </c>
      <c r="B830" s="2">
        <v>9</v>
      </c>
      <c r="C830" s="2" t="s">
        <v>40</v>
      </c>
      <c r="D830" s="2" t="s">
        <v>41</v>
      </c>
      <c r="E830" s="2" t="s">
        <v>57</v>
      </c>
      <c r="F830" s="2" t="s">
        <v>85</v>
      </c>
      <c r="G830" s="3" t="s">
        <v>129</v>
      </c>
      <c r="H830" s="4">
        <v>17500</v>
      </c>
      <c r="I830" s="2" t="s">
        <v>58</v>
      </c>
      <c r="J830" s="2"/>
      <c r="K830" s="22">
        <f t="shared" si="12"/>
        <v>0</v>
      </c>
    </row>
    <row r="831" spans="1:11" x14ac:dyDescent="0.45">
      <c r="A831" s="5" t="s">
        <v>924</v>
      </c>
      <c r="B831" s="5">
        <v>1</v>
      </c>
      <c r="C831" s="5" t="s">
        <v>66</v>
      </c>
      <c r="D831" s="5" t="s">
        <v>12</v>
      </c>
      <c r="E831" s="5" t="s">
        <v>35</v>
      </c>
      <c r="F831" s="5" t="s">
        <v>36</v>
      </c>
      <c r="G831" s="6" t="s">
        <v>37</v>
      </c>
      <c r="H831" s="7">
        <v>10600</v>
      </c>
      <c r="I831" s="5" t="s">
        <v>38</v>
      </c>
      <c r="J831" s="5"/>
      <c r="K831" s="22">
        <f t="shared" si="12"/>
        <v>0</v>
      </c>
    </row>
    <row r="832" spans="1:11" x14ac:dyDescent="0.45">
      <c r="A832" s="2" t="s">
        <v>925</v>
      </c>
      <c r="B832" s="2">
        <v>6</v>
      </c>
      <c r="C832" s="2" t="s">
        <v>78</v>
      </c>
      <c r="D832" s="2" t="s">
        <v>23</v>
      </c>
      <c r="E832" s="2" t="s">
        <v>35</v>
      </c>
      <c r="F832" s="2" t="s">
        <v>105</v>
      </c>
      <c r="G832" s="3" t="s">
        <v>106</v>
      </c>
      <c r="H832" s="4">
        <v>17600</v>
      </c>
      <c r="I832" s="2" t="s">
        <v>38</v>
      </c>
      <c r="J832" s="2"/>
      <c r="K832" s="22">
        <f t="shared" si="12"/>
        <v>0</v>
      </c>
    </row>
    <row r="833" spans="1:11" x14ac:dyDescent="0.45">
      <c r="A833" s="5" t="s">
        <v>926</v>
      </c>
      <c r="B833" s="5">
        <v>1</v>
      </c>
      <c r="C833" s="5" t="s">
        <v>66</v>
      </c>
      <c r="D833" s="5" t="s">
        <v>12</v>
      </c>
      <c r="E833" s="5" t="s">
        <v>35</v>
      </c>
      <c r="F833" s="5" t="s">
        <v>14</v>
      </c>
      <c r="G833" s="6" t="s">
        <v>42</v>
      </c>
      <c r="H833" s="7">
        <v>201700</v>
      </c>
      <c r="I833" s="5" t="s">
        <v>38</v>
      </c>
      <c r="J833" s="5"/>
      <c r="K833" s="22">
        <f t="shared" si="12"/>
        <v>0</v>
      </c>
    </row>
    <row r="834" spans="1:11" x14ac:dyDescent="0.45">
      <c r="A834" s="2" t="s">
        <v>927</v>
      </c>
      <c r="B834" s="2">
        <v>12</v>
      </c>
      <c r="C834" s="2" t="s">
        <v>34</v>
      </c>
      <c r="D834" s="2" t="s">
        <v>30</v>
      </c>
      <c r="E834" s="2" t="s">
        <v>19</v>
      </c>
      <c r="F834" s="2" t="s">
        <v>14</v>
      </c>
      <c r="G834" s="3" t="s">
        <v>42</v>
      </c>
      <c r="H834" s="4">
        <v>102500</v>
      </c>
      <c r="I834" s="2" t="s">
        <v>20</v>
      </c>
      <c r="J834" s="2"/>
      <c r="K834" s="22">
        <f t="shared" si="12"/>
        <v>0</v>
      </c>
    </row>
    <row r="835" spans="1:11" x14ac:dyDescent="0.45">
      <c r="A835" s="5" t="s">
        <v>928</v>
      </c>
      <c r="B835" s="5">
        <v>6</v>
      </c>
      <c r="C835" s="5" t="s">
        <v>78</v>
      </c>
      <c r="D835" s="5" t="s">
        <v>23</v>
      </c>
      <c r="E835" s="5" t="s">
        <v>35</v>
      </c>
      <c r="F835" s="5" t="s">
        <v>36</v>
      </c>
      <c r="G835" s="6" t="s">
        <v>37</v>
      </c>
      <c r="H835" s="7">
        <v>9600</v>
      </c>
      <c r="I835" s="5" t="s">
        <v>38</v>
      </c>
      <c r="J835" s="5"/>
      <c r="K835" s="22">
        <f t="shared" ref="K835:K876" si="13">IF(J835=$N$2,0,IF(J835=$N$3,1,IF(J835=$N$4,2)))</f>
        <v>0</v>
      </c>
    </row>
    <row r="836" spans="1:11" x14ac:dyDescent="0.45">
      <c r="A836" s="2" t="s">
        <v>929</v>
      </c>
      <c r="B836" s="2">
        <v>11</v>
      </c>
      <c r="C836" s="2" t="s">
        <v>29</v>
      </c>
      <c r="D836" s="2" t="s">
        <v>30</v>
      </c>
      <c r="E836" s="2" t="s">
        <v>71</v>
      </c>
      <c r="F836" s="2" t="s">
        <v>14</v>
      </c>
      <c r="G836" s="3" t="s">
        <v>42</v>
      </c>
      <c r="H836" s="4">
        <v>241400</v>
      </c>
      <c r="I836" s="2" t="s">
        <v>72</v>
      </c>
      <c r="J836" s="2"/>
      <c r="K836" s="22">
        <f t="shared" si="13"/>
        <v>0</v>
      </c>
    </row>
    <row r="837" spans="1:11" x14ac:dyDescent="0.45">
      <c r="A837" s="5" t="s">
        <v>930</v>
      </c>
      <c r="B837" s="5">
        <v>6</v>
      </c>
      <c r="C837" s="5" t="s">
        <v>78</v>
      </c>
      <c r="D837" s="5" t="s">
        <v>23</v>
      </c>
      <c r="E837" s="5" t="s">
        <v>13</v>
      </c>
      <c r="F837" s="5" t="s">
        <v>14</v>
      </c>
      <c r="G837" s="6" t="s">
        <v>42</v>
      </c>
      <c r="H837" s="7">
        <v>12100</v>
      </c>
      <c r="I837" s="5" t="s">
        <v>16</v>
      </c>
      <c r="J837" s="5"/>
      <c r="K837" s="22">
        <f t="shared" si="13"/>
        <v>0</v>
      </c>
    </row>
    <row r="838" spans="1:11" x14ac:dyDescent="0.45">
      <c r="A838" s="2" t="s">
        <v>931</v>
      </c>
      <c r="B838" s="2">
        <v>11</v>
      </c>
      <c r="C838" s="2" t="s">
        <v>29</v>
      </c>
      <c r="D838" s="2" t="s">
        <v>30</v>
      </c>
      <c r="E838" s="2" t="s">
        <v>24</v>
      </c>
      <c r="F838" s="2" t="s">
        <v>14</v>
      </c>
      <c r="G838" s="3" t="s">
        <v>42</v>
      </c>
      <c r="H838" s="4">
        <v>252100</v>
      </c>
      <c r="I838" s="2" t="s">
        <v>27</v>
      </c>
      <c r="J838" s="2"/>
      <c r="K838" s="22">
        <f t="shared" si="13"/>
        <v>0</v>
      </c>
    </row>
    <row r="839" spans="1:11" x14ac:dyDescent="0.45">
      <c r="A839" s="5" t="s">
        <v>932</v>
      </c>
      <c r="B839" s="5">
        <v>4</v>
      </c>
      <c r="C839" s="5" t="s">
        <v>47</v>
      </c>
      <c r="D839" s="5" t="s">
        <v>23</v>
      </c>
      <c r="E839" s="5" t="s">
        <v>35</v>
      </c>
      <c r="F839" s="5" t="s">
        <v>14</v>
      </c>
      <c r="G839" s="6" t="s">
        <v>42</v>
      </c>
      <c r="H839" s="7">
        <v>202400</v>
      </c>
      <c r="I839" s="5" t="s">
        <v>38</v>
      </c>
      <c r="J839" s="5"/>
      <c r="K839" s="22">
        <f t="shared" si="13"/>
        <v>0</v>
      </c>
    </row>
    <row r="840" spans="1:11" x14ac:dyDescent="0.45">
      <c r="A840" s="2" t="s">
        <v>933</v>
      </c>
      <c r="B840" s="2">
        <v>2</v>
      </c>
      <c r="C840" s="2" t="s">
        <v>11</v>
      </c>
      <c r="D840" s="2" t="s">
        <v>12</v>
      </c>
      <c r="E840" s="2" t="s">
        <v>71</v>
      </c>
      <c r="F840" s="2" t="s">
        <v>63</v>
      </c>
      <c r="G840" s="3" t="s">
        <v>69</v>
      </c>
      <c r="H840" s="4">
        <v>33000</v>
      </c>
      <c r="I840" s="2" t="s">
        <v>72</v>
      </c>
      <c r="J840" s="2"/>
      <c r="K840" s="22">
        <f t="shared" si="13"/>
        <v>0</v>
      </c>
    </row>
    <row r="841" spans="1:11" x14ac:dyDescent="0.45">
      <c r="A841" s="5" t="s">
        <v>934</v>
      </c>
      <c r="B841" s="5">
        <v>7</v>
      </c>
      <c r="C841" s="5" t="s">
        <v>56</v>
      </c>
      <c r="D841" s="5" t="s">
        <v>41</v>
      </c>
      <c r="E841" s="5" t="s">
        <v>57</v>
      </c>
      <c r="F841" s="5" t="s">
        <v>63</v>
      </c>
      <c r="G841" s="6" t="s">
        <v>64</v>
      </c>
      <c r="H841" s="7">
        <v>12400</v>
      </c>
      <c r="I841" s="5" t="s">
        <v>58</v>
      </c>
      <c r="J841" s="5"/>
      <c r="K841" s="22">
        <f t="shared" si="13"/>
        <v>0</v>
      </c>
    </row>
    <row r="842" spans="1:11" x14ac:dyDescent="0.45">
      <c r="A842" s="2" t="s">
        <v>935</v>
      </c>
      <c r="B842" s="2">
        <v>2</v>
      </c>
      <c r="C842" s="2" t="s">
        <v>11</v>
      </c>
      <c r="D842" s="2" t="s">
        <v>12</v>
      </c>
      <c r="E842" s="2" t="s">
        <v>19</v>
      </c>
      <c r="F842" s="2" t="s">
        <v>53</v>
      </c>
      <c r="G842" s="3" t="s">
        <v>54</v>
      </c>
      <c r="H842" s="4">
        <v>12700</v>
      </c>
      <c r="I842" s="2" t="s">
        <v>20</v>
      </c>
      <c r="J842" s="2" t="s">
        <v>415</v>
      </c>
      <c r="K842" s="22">
        <f t="shared" si="13"/>
        <v>2</v>
      </c>
    </row>
    <row r="843" spans="1:11" x14ac:dyDescent="0.45">
      <c r="A843" s="5" t="s">
        <v>936</v>
      </c>
      <c r="B843" s="5">
        <v>1</v>
      </c>
      <c r="C843" s="5" t="s">
        <v>66</v>
      </c>
      <c r="D843" s="5" t="s">
        <v>12</v>
      </c>
      <c r="E843" s="5" t="s">
        <v>13</v>
      </c>
      <c r="F843" s="5" t="s">
        <v>14</v>
      </c>
      <c r="G843" s="6" t="s">
        <v>15</v>
      </c>
      <c r="H843" s="7">
        <v>88800</v>
      </c>
      <c r="I843" s="5" t="s">
        <v>16</v>
      </c>
      <c r="J843" s="5"/>
      <c r="K843" s="22">
        <f t="shared" si="13"/>
        <v>0</v>
      </c>
    </row>
    <row r="844" spans="1:11" x14ac:dyDescent="0.45">
      <c r="A844" s="2" t="s">
        <v>937</v>
      </c>
      <c r="B844" s="2">
        <v>8</v>
      </c>
      <c r="C844" s="2" t="s">
        <v>60</v>
      </c>
      <c r="D844" s="2" t="s">
        <v>41</v>
      </c>
      <c r="E844" s="2" t="s">
        <v>19</v>
      </c>
      <c r="F844" s="2" t="s">
        <v>31</v>
      </c>
      <c r="G844" s="3" t="s">
        <v>32</v>
      </c>
      <c r="H844" s="4">
        <v>10800</v>
      </c>
      <c r="I844" s="2" t="s">
        <v>20</v>
      </c>
      <c r="J844" s="2"/>
      <c r="K844" s="22">
        <f t="shared" si="13"/>
        <v>0</v>
      </c>
    </row>
    <row r="845" spans="1:11" x14ac:dyDescent="0.45">
      <c r="A845" s="5" t="s">
        <v>938</v>
      </c>
      <c r="B845" s="5">
        <v>5</v>
      </c>
      <c r="C845" s="5" t="s">
        <v>22</v>
      </c>
      <c r="D845" s="5" t="s">
        <v>23</v>
      </c>
      <c r="E845" s="5" t="s">
        <v>57</v>
      </c>
      <c r="F845" s="5" t="s">
        <v>14</v>
      </c>
      <c r="G845" s="6" t="s">
        <v>15</v>
      </c>
      <c r="H845" s="7">
        <v>37100</v>
      </c>
      <c r="I845" s="5" t="s">
        <v>58</v>
      </c>
      <c r="J845" s="5"/>
      <c r="K845" s="22">
        <f t="shared" si="13"/>
        <v>0</v>
      </c>
    </row>
    <row r="846" spans="1:11" x14ac:dyDescent="0.45">
      <c r="A846" s="2" t="s">
        <v>939</v>
      </c>
      <c r="B846" s="2">
        <v>7</v>
      </c>
      <c r="C846" s="2" t="s">
        <v>56</v>
      </c>
      <c r="D846" s="2" t="s">
        <v>41</v>
      </c>
      <c r="E846" s="2" t="s">
        <v>35</v>
      </c>
      <c r="F846" s="2" t="s">
        <v>105</v>
      </c>
      <c r="G846" s="3" t="s">
        <v>150</v>
      </c>
      <c r="H846" s="4">
        <v>4000</v>
      </c>
      <c r="I846" s="2" t="s">
        <v>38</v>
      </c>
      <c r="J846" s="2"/>
      <c r="K846" s="22">
        <f t="shared" si="13"/>
        <v>0</v>
      </c>
    </row>
    <row r="847" spans="1:11" x14ac:dyDescent="0.45">
      <c r="A847" s="5" t="s">
        <v>940</v>
      </c>
      <c r="B847" s="5">
        <v>10</v>
      </c>
      <c r="C847" s="5" t="s">
        <v>40</v>
      </c>
      <c r="D847" s="5" t="s">
        <v>30</v>
      </c>
      <c r="E847" s="5" t="s">
        <v>24</v>
      </c>
      <c r="F847" s="5" t="s">
        <v>44</v>
      </c>
      <c r="G847" s="6" t="s">
        <v>45</v>
      </c>
      <c r="H847" s="7">
        <v>36200</v>
      </c>
      <c r="I847" s="5" t="s">
        <v>27</v>
      </c>
      <c r="J847" s="5"/>
      <c r="K847" s="22">
        <f t="shared" si="13"/>
        <v>0</v>
      </c>
    </row>
    <row r="848" spans="1:11" x14ac:dyDescent="0.45">
      <c r="A848" s="2" t="s">
        <v>941</v>
      </c>
      <c r="B848" s="2">
        <v>10</v>
      </c>
      <c r="C848" s="2" t="s">
        <v>40</v>
      </c>
      <c r="D848" s="2" t="s">
        <v>30</v>
      </c>
      <c r="E848" s="2" t="s">
        <v>13</v>
      </c>
      <c r="F848" s="2" t="s">
        <v>102</v>
      </c>
      <c r="G848" s="3" t="s">
        <v>103</v>
      </c>
      <c r="H848" s="4">
        <v>7300</v>
      </c>
      <c r="I848" s="2" t="s">
        <v>16</v>
      </c>
      <c r="J848" s="2"/>
      <c r="K848" s="22">
        <f t="shared" si="13"/>
        <v>0</v>
      </c>
    </row>
    <row r="849" spans="1:11" x14ac:dyDescent="0.45">
      <c r="A849" s="5" t="s">
        <v>942</v>
      </c>
      <c r="B849" s="5">
        <v>9</v>
      </c>
      <c r="C849" s="5" t="s">
        <v>40</v>
      </c>
      <c r="D849" s="5" t="s">
        <v>41</v>
      </c>
      <c r="E849" s="5" t="s">
        <v>24</v>
      </c>
      <c r="F849" s="5" t="s">
        <v>44</v>
      </c>
      <c r="G849" s="6" t="s">
        <v>123</v>
      </c>
      <c r="H849" s="7">
        <v>1000</v>
      </c>
      <c r="I849" s="5" t="s">
        <v>27</v>
      </c>
      <c r="J849" s="5"/>
      <c r="K849" s="22">
        <f t="shared" si="13"/>
        <v>0</v>
      </c>
    </row>
    <row r="850" spans="1:11" x14ac:dyDescent="0.45">
      <c r="A850" s="2" t="s">
        <v>943</v>
      </c>
      <c r="B850" s="2">
        <v>8</v>
      </c>
      <c r="C850" s="2" t="s">
        <v>60</v>
      </c>
      <c r="D850" s="2" t="s">
        <v>41</v>
      </c>
      <c r="E850" s="2" t="s">
        <v>57</v>
      </c>
      <c r="F850" s="2" t="s">
        <v>75</v>
      </c>
      <c r="G850" s="3" t="s">
        <v>76</v>
      </c>
      <c r="H850" s="4">
        <v>9700</v>
      </c>
      <c r="I850" s="2" t="s">
        <v>58</v>
      </c>
      <c r="J850" s="2"/>
      <c r="K850" s="22">
        <f t="shared" si="13"/>
        <v>0</v>
      </c>
    </row>
    <row r="851" spans="1:11" x14ac:dyDescent="0.45">
      <c r="A851" s="5" t="s">
        <v>944</v>
      </c>
      <c r="B851" s="5">
        <v>4</v>
      </c>
      <c r="C851" s="5" t="s">
        <v>47</v>
      </c>
      <c r="D851" s="5" t="s">
        <v>23</v>
      </c>
      <c r="E851" s="5" t="s">
        <v>71</v>
      </c>
      <c r="F851" s="5" t="s">
        <v>94</v>
      </c>
      <c r="G851" s="6" t="s">
        <v>157</v>
      </c>
      <c r="H851" s="7">
        <v>14300</v>
      </c>
      <c r="I851" s="5" t="s">
        <v>72</v>
      </c>
      <c r="J851" s="5"/>
      <c r="K851" s="22">
        <f t="shared" si="13"/>
        <v>0</v>
      </c>
    </row>
    <row r="852" spans="1:11" x14ac:dyDescent="0.45">
      <c r="A852" s="2" t="s">
        <v>945</v>
      </c>
      <c r="B852" s="2">
        <v>1</v>
      </c>
      <c r="C852" s="2" t="s">
        <v>66</v>
      </c>
      <c r="D852" s="2" t="s">
        <v>12</v>
      </c>
      <c r="E852" s="2" t="s">
        <v>35</v>
      </c>
      <c r="F852" s="2" t="s">
        <v>36</v>
      </c>
      <c r="G852" s="3" t="s">
        <v>126</v>
      </c>
      <c r="H852" s="4">
        <v>22600</v>
      </c>
      <c r="I852" s="2" t="s">
        <v>38</v>
      </c>
      <c r="J852" s="2"/>
      <c r="K852" s="22">
        <f t="shared" si="13"/>
        <v>0</v>
      </c>
    </row>
    <row r="853" spans="1:11" x14ac:dyDescent="0.45">
      <c r="A853" s="5" t="s">
        <v>946</v>
      </c>
      <c r="B853" s="5">
        <v>1</v>
      </c>
      <c r="C853" s="5" t="s">
        <v>66</v>
      </c>
      <c r="D853" s="5" t="s">
        <v>12</v>
      </c>
      <c r="E853" s="5" t="s">
        <v>35</v>
      </c>
      <c r="F853" s="5" t="s">
        <v>105</v>
      </c>
      <c r="G853" s="6" t="s">
        <v>133</v>
      </c>
      <c r="H853" s="7">
        <v>25300</v>
      </c>
      <c r="I853" s="5" t="s">
        <v>38</v>
      </c>
      <c r="J853" s="5"/>
      <c r="K853" s="22">
        <f t="shared" si="13"/>
        <v>0</v>
      </c>
    </row>
    <row r="854" spans="1:11" x14ac:dyDescent="0.45">
      <c r="A854" s="2" t="s">
        <v>947</v>
      </c>
      <c r="B854" s="2">
        <v>6</v>
      </c>
      <c r="C854" s="2" t="s">
        <v>78</v>
      </c>
      <c r="D854" s="2" t="s">
        <v>23</v>
      </c>
      <c r="E854" s="2" t="s">
        <v>57</v>
      </c>
      <c r="F854" s="2" t="s">
        <v>14</v>
      </c>
      <c r="G854" s="3" t="s">
        <v>15</v>
      </c>
      <c r="H854" s="4">
        <v>54000</v>
      </c>
      <c r="I854" s="2" t="s">
        <v>58</v>
      </c>
      <c r="J854" s="2"/>
      <c r="K854" s="22">
        <f t="shared" si="13"/>
        <v>0</v>
      </c>
    </row>
    <row r="855" spans="1:11" x14ac:dyDescent="0.45">
      <c r="A855" s="5" t="s">
        <v>948</v>
      </c>
      <c r="B855" s="5">
        <v>9</v>
      </c>
      <c r="C855" s="5" t="s">
        <v>40</v>
      </c>
      <c r="D855" s="5" t="s">
        <v>41</v>
      </c>
      <c r="E855" s="5" t="s">
        <v>13</v>
      </c>
      <c r="F855" s="5" t="s">
        <v>63</v>
      </c>
      <c r="G855" s="6" t="s">
        <v>97</v>
      </c>
      <c r="H855" s="7">
        <v>9300</v>
      </c>
      <c r="I855" s="5" t="s">
        <v>16</v>
      </c>
      <c r="J855" s="5"/>
      <c r="K855" s="22">
        <f t="shared" si="13"/>
        <v>0</v>
      </c>
    </row>
    <row r="856" spans="1:11" x14ac:dyDescent="0.45">
      <c r="A856" s="2" t="s">
        <v>949</v>
      </c>
      <c r="B856" s="2">
        <v>3</v>
      </c>
      <c r="C856" s="2" t="s">
        <v>18</v>
      </c>
      <c r="D856" s="2" t="s">
        <v>12</v>
      </c>
      <c r="E856" s="2" t="s">
        <v>71</v>
      </c>
      <c r="F856" s="2" t="s">
        <v>94</v>
      </c>
      <c r="G856" s="3" t="s">
        <v>95</v>
      </c>
      <c r="H856" s="4">
        <v>4100</v>
      </c>
      <c r="I856" s="2" t="s">
        <v>72</v>
      </c>
      <c r="J856" s="2"/>
      <c r="K856" s="22">
        <f t="shared" si="13"/>
        <v>0</v>
      </c>
    </row>
    <row r="857" spans="1:11" x14ac:dyDescent="0.45">
      <c r="A857" s="5" t="s">
        <v>950</v>
      </c>
      <c r="B857" s="5">
        <v>4</v>
      </c>
      <c r="C857" s="5" t="s">
        <v>47</v>
      </c>
      <c r="D857" s="5" t="s">
        <v>23</v>
      </c>
      <c r="E857" s="5" t="s">
        <v>24</v>
      </c>
      <c r="F857" s="5" t="s">
        <v>14</v>
      </c>
      <c r="G857" s="6" t="s">
        <v>48</v>
      </c>
      <c r="H857" s="7">
        <v>92400</v>
      </c>
      <c r="I857" s="5" t="s">
        <v>27</v>
      </c>
      <c r="J857" s="5"/>
      <c r="K857" s="22">
        <f t="shared" si="13"/>
        <v>0</v>
      </c>
    </row>
    <row r="858" spans="1:11" x14ac:dyDescent="0.45">
      <c r="A858" s="2" t="s">
        <v>951</v>
      </c>
      <c r="B858" s="2">
        <v>7</v>
      </c>
      <c r="C858" s="2" t="s">
        <v>56</v>
      </c>
      <c r="D858" s="2" t="s">
        <v>41</v>
      </c>
      <c r="E858" s="2" t="s">
        <v>19</v>
      </c>
      <c r="F858" s="2" t="s">
        <v>14</v>
      </c>
      <c r="G858" s="3" t="s">
        <v>15</v>
      </c>
      <c r="H858" s="4">
        <v>34200</v>
      </c>
      <c r="I858" s="2" t="s">
        <v>20</v>
      </c>
      <c r="J858" s="2"/>
      <c r="K858" s="22">
        <f t="shared" si="13"/>
        <v>0</v>
      </c>
    </row>
    <row r="859" spans="1:11" x14ac:dyDescent="0.45">
      <c r="A859" s="5" t="s">
        <v>952</v>
      </c>
      <c r="B859" s="5">
        <v>8</v>
      </c>
      <c r="C859" s="5" t="s">
        <v>60</v>
      </c>
      <c r="D859" s="5" t="s">
        <v>41</v>
      </c>
      <c r="E859" s="5" t="s">
        <v>57</v>
      </c>
      <c r="F859" s="5" t="s">
        <v>63</v>
      </c>
      <c r="G859" s="6" t="s">
        <v>97</v>
      </c>
      <c r="H859" s="7">
        <v>11700</v>
      </c>
      <c r="I859" s="5" t="s">
        <v>58</v>
      </c>
      <c r="J859" s="5"/>
      <c r="K859" s="22">
        <f t="shared" si="13"/>
        <v>0</v>
      </c>
    </row>
    <row r="860" spans="1:11" x14ac:dyDescent="0.45">
      <c r="A860" s="2" t="s">
        <v>953</v>
      </c>
      <c r="B860" s="2">
        <v>6</v>
      </c>
      <c r="C860" s="2" t="s">
        <v>78</v>
      </c>
      <c r="D860" s="2" t="s">
        <v>23</v>
      </c>
      <c r="E860" s="2" t="s">
        <v>19</v>
      </c>
      <c r="F860" s="2" t="s">
        <v>63</v>
      </c>
      <c r="G860" s="3" t="s">
        <v>97</v>
      </c>
      <c r="H860" s="4">
        <v>5800</v>
      </c>
      <c r="I860" s="2" t="s">
        <v>20</v>
      </c>
      <c r="J860" s="2"/>
      <c r="K860" s="22">
        <f t="shared" si="13"/>
        <v>0</v>
      </c>
    </row>
    <row r="861" spans="1:11" x14ac:dyDescent="0.45">
      <c r="A861" s="5" t="s">
        <v>954</v>
      </c>
      <c r="B861" s="5">
        <v>2</v>
      </c>
      <c r="C861" s="5" t="s">
        <v>11</v>
      </c>
      <c r="D861" s="5" t="s">
        <v>12</v>
      </c>
      <c r="E861" s="5" t="s">
        <v>13</v>
      </c>
      <c r="F861" s="5" t="s">
        <v>63</v>
      </c>
      <c r="G861" s="6" t="s">
        <v>69</v>
      </c>
      <c r="H861" s="7">
        <v>12900</v>
      </c>
      <c r="I861" s="5" t="s">
        <v>16</v>
      </c>
      <c r="J861" s="5"/>
      <c r="K861" s="22">
        <f t="shared" si="13"/>
        <v>0</v>
      </c>
    </row>
    <row r="862" spans="1:11" x14ac:dyDescent="0.45">
      <c r="A862" s="2" t="s">
        <v>955</v>
      </c>
      <c r="B862" s="2">
        <v>1</v>
      </c>
      <c r="C862" s="2" t="s">
        <v>66</v>
      </c>
      <c r="D862" s="2" t="s">
        <v>12</v>
      </c>
      <c r="E862" s="2" t="s">
        <v>24</v>
      </c>
      <c r="F862" s="2" t="s">
        <v>14</v>
      </c>
      <c r="G862" s="3" t="s">
        <v>48</v>
      </c>
      <c r="H862" s="4">
        <v>116100</v>
      </c>
      <c r="I862" s="2" t="s">
        <v>27</v>
      </c>
      <c r="J862" s="2"/>
      <c r="K862" s="22">
        <f t="shared" si="13"/>
        <v>0</v>
      </c>
    </row>
    <row r="863" spans="1:11" x14ac:dyDescent="0.45">
      <c r="A863" s="5" t="s">
        <v>956</v>
      </c>
      <c r="B863" s="5">
        <v>8</v>
      </c>
      <c r="C863" s="5" t="s">
        <v>60</v>
      </c>
      <c r="D863" s="5" t="s">
        <v>41</v>
      </c>
      <c r="E863" s="5" t="s">
        <v>57</v>
      </c>
      <c r="F863" s="5" t="s">
        <v>75</v>
      </c>
      <c r="G863" s="6" t="s">
        <v>179</v>
      </c>
      <c r="H863" s="7">
        <v>13300</v>
      </c>
      <c r="I863" s="5" t="s">
        <v>58</v>
      </c>
      <c r="J863" s="5"/>
      <c r="K863" s="22">
        <f t="shared" si="13"/>
        <v>0</v>
      </c>
    </row>
    <row r="864" spans="1:11" x14ac:dyDescent="0.45">
      <c r="A864" s="2" t="s">
        <v>957</v>
      </c>
      <c r="B864" s="2">
        <v>5</v>
      </c>
      <c r="C864" s="2" t="s">
        <v>22</v>
      </c>
      <c r="D864" s="2" t="s">
        <v>23</v>
      </c>
      <c r="E864" s="2" t="s">
        <v>13</v>
      </c>
      <c r="F864" s="2" t="s">
        <v>63</v>
      </c>
      <c r="G864" s="3" t="s">
        <v>64</v>
      </c>
      <c r="H864" s="4">
        <v>19500</v>
      </c>
      <c r="I864" s="2" t="s">
        <v>16</v>
      </c>
      <c r="J864" s="2"/>
      <c r="K864" s="22">
        <f t="shared" si="13"/>
        <v>0</v>
      </c>
    </row>
    <row r="865" spans="1:11" x14ac:dyDescent="0.45">
      <c r="A865" s="5" t="s">
        <v>958</v>
      </c>
      <c r="B865" s="5">
        <v>12</v>
      </c>
      <c r="C865" s="5" t="s">
        <v>34</v>
      </c>
      <c r="D865" s="5" t="s">
        <v>30</v>
      </c>
      <c r="E865" s="5" t="s">
        <v>71</v>
      </c>
      <c r="F865" s="5" t="s">
        <v>88</v>
      </c>
      <c r="G865" s="6" t="s">
        <v>258</v>
      </c>
      <c r="H865" s="7">
        <v>4900</v>
      </c>
      <c r="I865" s="5" t="s">
        <v>72</v>
      </c>
      <c r="J865" s="5"/>
      <c r="K865" s="22">
        <f t="shared" si="13"/>
        <v>0</v>
      </c>
    </row>
    <row r="866" spans="1:11" x14ac:dyDescent="0.45">
      <c r="A866" s="2" t="s">
        <v>959</v>
      </c>
      <c r="B866" s="2">
        <v>7</v>
      </c>
      <c r="C866" s="2" t="s">
        <v>56</v>
      </c>
      <c r="D866" s="2" t="s">
        <v>41</v>
      </c>
      <c r="E866" s="2" t="s">
        <v>35</v>
      </c>
      <c r="F866" s="2" t="s">
        <v>14</v>
      </c>
      <c r="G866" s="3" t="s">
        <v>42</v>
      </c>
      <c r="H866" s="4">
        <v>159000</v>
      </c>
      <c r="I866" s="2" t="s">
        <v>38</v>
      </c>
      <c r="J866" s="2"/>
      <c r="K866" s="22">
        <f t="shared" si="13"/>
        <v>0</v>
      </c>
    </row>
    <row r="867" spans="1:11" x14ac:dyDescent="0.45">
      <c r="A867" s="5" t="s">
        <v>960</v>
      </c>
      <c r="B867" s="5">
        <v>8</v>
      </c>
      <c r="C867" s="5" t="s">
        <v>60</v>
      </c>
      <c r="D867" s="5" t="s">
        <v>41</v>
      </c>
      <c r="E867" s="5" t="s">
        <v>13</v>
      </c>
      <c r="F867" s="5" t="s">
        <v>50</v>
      </c>
      <c r="G867" s="6" t="s">
        <v>144</v>
      </c>
      <c r="H867" s="7">
        <v>13700</v>
      </c>
      <c r="I867" s="5" t="s">
        <v>16</v>
      </c>
      <c r="J867" s="5"/>
      <c r="K867" s="22">
        <f t="shared" si="13"/>
        <v>0</v>
      </c>
    </row>
    <row r="868" spans="1:11" x14ac:dyDescent="0.45">
      <c r="A868" s="2" t="s">
        <v>961</v>
      </c>
      <c r="B868" s="2">
        <v>8</v>
      </c>
      <c r="C868" s="2" t="s">
        <v>60</v>
      </c>
      <c r="D868" s="2" t="s">
        <v>41</v>
      </c>
      <c r="E868" s="2" t="s">
        <v>57</v>
      </c>
      <c r="F868" s="2" t="s">
        <v>85</v>
      </c>
      <c r="G868" s="3" t="s">
        <v>129</v>
      </c>
      <c r="H868" s="4">
        <v>30600</v>
      </c>
      <c r="I868" s="2" t="s">
        <v>58</v>
      </c>
      <c r="J868" s="2"/>
      <c r="K868" s="22">
        <f t="shared" si="13"/>
        <v>0</v>
      </c>
    </row>
    <row r="869" spans="1:11" x14ac:dyDescent="0.45">
      <c r="A869" s="5" t="s">
        <v>962</v>
      </c>
      <c r="B869" s="5">
        <v>3</v>
      </c>
      <c r="C869" s="5" t="s">
        <v>18</v>
      </c>
      <c r="D869" s="5" t="s">
        <v>12</v>
      </c>
      <c r="E869" s="5" t="s">
        <v>13</v>
      </c>
      <c r="F869" s="5" t="s">
        <v>102</v>
      </c>
      <c r="G869" s="6" t="s">
        <v>103</v>
      </c>
      <c r="H869" s="7">
        <v>8900</v>
      </c>
      <c r="I869" s="5" t="s">
        <v>16</v>
      </c>
      <c r="J869" s="5"/>
      <c r="K869" s="22">
        <f t="shared" si="13"/>
        <v>0</v>
      </c>
    </row>
    <row r="870" spans="1:11" x14ac:dyDescent="0.45">
      <c r="A870" s="2" t="s">
        <v>963</v>
      </c>
      <c r="B870" s="2">
        <v>11</v>
      </c>
      <c r="C870" s="2" t="s">
        <v>29</v>
      </c>
      <c r="D870" s="2" t="s">
        <v>30</v>
      </c>
      <c r="E870" s="2" t="s">
        <v>35</v>
      </c>
      <c r="F870" s="2" t="s">
        <v>75</v>
      </c>
      <c r="G870" s="3" t="s">
        <v>83</v>
      </c>
      <c r="H870" s="4">
        <v>3000</v>
      </c>
      <c r="I870" s="2" t="s">
        <v>38</v>
      </c>
      <c r="J870" s="2"/>
      <c r="K870" s="22">
        <f t="shared" si="13"/>
        <v>0</v>
      </c>
    </row>
    <row r="871" spans="1:11" x14ac:dyDescent="0.45">
      <c r="A871" s="5" t="s">
        <v>964</v>
      </c>
      <c r="B871" s="5">
        <v>3</v>
      </c>
      <c r="C871" s="5" t="s">
        <v>18</v>
      </c>
      <c r="D871" s="5" t="s">
        <v>12</v>
      </c>
      <c r="E871" s="5" t="s">
        <v>19</v>
      </c>
      <c r="F871" s="5" t="s">
        <v>63</v>
      </c>
      <c r="G871" s="6" t="s">
        <v>97</v>
      </c>
      <c r="H871" s="7">
        <v>13800</v>
      </c>
      <c r="I871" s="5" t="s">
        <v>20</v>
      </c>
      <c r="J871" s="5"/>
      <c r="K871" s="22">
        <f t="shared" si="13"/>
        <v>0</v>
      </c>
    </row>
    <row r="872" spans="1:11" x14ac:dyDescent="0.45">
      <c r="A872" s="2" t="s">
        <v>965</v>
      </c>
      <c r="B872" s="2">
        <v>5</v>
      </c>
      <c r="C872" s="2" t="s">
        <v>22</v>
      </c>
      <c r="D872" s="2" t="s">
        <v>23</v>
      </c>
      <c r="E872" s="2" t="s">
        <v>24</v>
      </c>
      <c r="F872" s="2" t="s">
        <v>25</v>
      </c>
      <c r="G872" s="3" t="s">
        <v>100</v>
      </c>
      <c r="H872" s="4">
        <v>31200</v>
      </c>
      <c r="I872" s="2" t="s">
        <v>27</v>
      </c>
      <c r="J872" s="2"/>
      <c r="K872" s="22">
        <f t="shared" si="13"/>
        <v>0</v>
      </c>
    </row>
    <row r="873" spans="1:11" x14ac:dyDescent="0.45">
      <c r="A873" s="5" t="s">
        <v>966</v>
      </c>
      <c r="B873" s="5">
        <v>11</v>
      </c>
      <c r="C873" s="5" t="s">
        <v>29</v>
      </c>
      <c r="D873" s="5" t="s">
        <v>30</v>
      </c>
      <c r="E873" s="5" t="s">
        <v>13</v>
      </c>
      <c r="F873" s="5" t="s">
        <v>102</v>
      </c>
      <c r="G873" s="6" t="s">
        <v>140</v>
      </c>
      <c r="H873" s="7">
        <v>110600</v>
      </c>
      <c r="I873" s="5" t="s">
        <v>16</v>
      </c>
      <c r="J873" s="5"/>
      <c r="K873" s="22">
        <f t="shared" si="13"/>
        <v>0</v>
      </c>
    </row>
    <row r="874" spans="1:11" x14ac:dyDescent="0.45">
      <c r="A874" s="2" t="s">
        <v>967</v>
      </c>
      <c r="B874" s="2">
        <v>9</v>
      </c>
      <c r="C874" s="2" t="s">
        <v>40</v>
      </c>
      <c r="D874" s="2" t="s">
        <v>41</v>
      </c>
      <c r="E874" s="2" t="s">
        <v>13</v>
      </c>
      <c r="F874" s="2" t="s">
        <v>102</v>
      </c>
      <c r="G874" s="3" t="s">
        <v>140</v>
      </c>
      <c r="H874" s="4">
        <v>30900</v>
      </c>
      <c r="I874" s="2" t="s">
        <v>16</v>
      </c>
      <c r="J874" s="2"/>
      <c r="K874" s="22">
        <f t="shared" si="13"/>
        <v>0</v>
      </c>
    </row>
    <row r="875" spans="1:11" x14ac:dyDescent="0.45">
      <c r="A875" s="5" t="s">
        <v>968</v>
      </c>
      <c r="B875" s="5">
        <v>5</v>
      </c>
      <c r="C875" s="5" t="s">
        <v>22</v>
      </c>
      <c r="D875" s="5" t="s">
        <v>23</v>
      </c>
      <c r="E875" s="5" t="s">
        <v>19</v>
      </c>
      <c r="F875" s="5" t="s">
        <v>63</v>
      </c>
      <c r="G875" s="6" t="s">
        <v>69</v>
      </c>
      <c r="H875" s="7">
        <v>5200</v>
      </c>
      <c r="I875" s="5" t="s">
        <v>20</v>
      </c>
      <c r="J875" s="5"/>
      <c r="K875" s="22">
        <f t="shared" si="13"/>
        <v>0</v>
      </c>
    </row>
    <row r="876" spans="1:11" x14ac:dyDescent="0.45">
      <c r="A876" s="2" t="s">
        <v>969</v>
      </c>
      <c r="B876" s="2">
        <v>12</v>
      </c>
      <c r="C876" s="2" t="s">
        <v>34</v>
      </c>
      <c r="D876" s="2" t="s">
        <v>30</v>
      </c>
      <c r="E876" s="2" t="s">
        <v>24</v>
      </c>
      <c r="F876" s="2" t="s">
        <v>44</v>
      </c>
      <c r="G876" s="3" t="s">
        <v>123</v>
      </c>
      <c r="H876" s="4">
        <v>105500</v>
      </c>
      <c r="I876" s="2" t="s">
        <v>27</v>
      </c>
      <c r="J876" s="2"/>
      <c r="K876" s="22">
        <f t="shared" si="13"/>
        <v>0</v>
      </c>
    </row>
  </sheetData>
  <conditionalFormatting sqref="H2:H876">
    <cfRule type="expression" dxfId="5" priority="1">
      <formula>$K2=0</formula>
    </cfRule>
    <cfRule type="expression" dxfId="4" priority="2">
      <formula>$K2=1</formula>
    </cfRule>
    <cfRule type="expression" dxfId="3" priority="3">
      <formula>$K2=2</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58"/>
  <sheetViews>
    <sheetView topLeftCell="B1" zoomScaleNormal="100" workbookViewId="0">
      <selection activeCell="S14" sqref="S14"/>
    </sheetView>
  </sheetViews>
  <sheetFormatPr defaultColWidth="8.6640625" defaultRowHeight="14.25" x14ac:dyDescent="0.45"/>
  <cols>
    <col min="1" max="1" width="22" customWidth="1"/>
    <col min="2" max="2" width="14" customWidth="1"/>
    <col min="3" max="3" width="22" customWidth="1"/>
    <col min="4" max="4" width="10" customWidth="1"/>
    <col min="5" max="5" width="12" customWidth="1"/>
    <col min="6" max="6" width="8" customWidth="1"/>
    <col min="7" max="7" width="20.265625" bestFit="1" customWidth="1"/>
    <col min="8" max="8" width="22" customWidth="1"/>
    <col min="9" max="9" width="15.86328125" customWidth="1"/>
    <col min="17" max="17" width="12.06640625" bestFit="1" customWidth="1"/>
    <col min="18" max="18" width="18.9296875" bestFit="1" customWidth="1"/>
  </cols>
  <sheetData>
    <row r="1" spans="1:9" ht="30" customHeight="1" x14ac:dyDescent="0.45">
      <c r="A1" s="8" t="s">
        <v>970</v>
      </c>
      <c r="B1" s="8" t="s">
        <v>4</v>
      </c>
      <c r="C1" s="8" t="s">
        <v>5</v>
      </c>
      <c r="D1" s="8" t="s">
        <v>1</v>
      </c>
      <c r="E1" s="8" t="s">
        <v>2</v>
      </c>
      <c r="F1" s="8" t="s">
        <v>3</v>
      </c>
      <c r="G1" s="8" t="s">
        <v>971</v>
      </c>
      <c r="H1" s="8" t="s">
        <v>972</v>
      </c>
      <c r="I1" s="24" t="s">
        <v>1317</v>
      </c>
    </row>
    <row r="2" spans="1:9" ht="15" customHeight="1" x14ac:dyDescent="0.45">
      <c r="A2" s="2" t="s">
        <v>973</v>
      </c>
      <c r="B2" s="2" t="s">
        <v>57</v>
      </c>
      <c r="C2" s="2" t="s">
        <v>14</v>
      </c>
      <c r="D2" s="2">
        <v>1</v>
      </c>
      <c r="E2" s="2" t="s">
        <v>66</v>
      </c>
      <c r="F2" s="2" t="s">
        <v>12</v>
      </c>
      <c r="G2" s="4">
        <v>5141000</v>
      </c>
      <c r="H2" s="4">
        <v>378000</v>
      </c>
      <c r="I2" s="23">
        <f>H2*12</f>
        <v>4536000</v>
      </c>
    </row>
    <row r="3" spans="1:9" ht="15" customHeight="1" x14ac:dyDescent="0.45">
      <c r="A3" s="5" t="s">
        <v>974</v>
      </c>
      <c r="B3" s="5" t="s">
        <v>57</v>
      </c>
      <c r="C3" s="5" t="s">
        <v>75</v>
      </c>
      <c r="D3" s="5">
        <v>1</v>
      </c>
      <c r="E3" s="5" t="s">
        <v>66</v>
      </c>
      <c r="F3" s="5" t="s">
        <v>12</v>
      </c>
      <c r="G3" s="7">
        <v>428000</v>
      </c>
      <c r="H3" s="7">
        <v>32000</v>
      </c>
      <c r="I3" s="23">
        <f t="shared" ref="I3:I66" si="0">H3*12</f>
        <v>384000</v>
      </c>
    </row>
    <row r="4" spans="1:9" ht="15" customHeight="1" x14ac:dyDescent="0.45">
      <c r="A4" s="2" t="s">
        <v>975</v>
      </c>
      <c r="B4" s="2" t="s">
        <v>57</v>
      </c>
      <c r="C4" s="2" t="s">
        <v>85</v>
      </c>
      <c r="D4" s="2">
        <v>1</v>
      </c>
      <c r="E4" s="2" t="s">
        <v>66</v>
      </c>
      <c r="F4" s="2" t="s">
        <v>12</v>
      </c>
      <c r="G4" s="4">
        <v>673000</v>
      </c>
      <c r="H4" s="4">
        <v>50000</v>
      </c>
      <c r="I4" s="23">
        <f t="shared" si="0"/>
        <v>600000</v>
      </c>
    </row>
    <row r="5" spans="1:9" ht="15" customHeight="1" x14ac:dyDescent="0.45">
      <c r="A5" s="5" t="s">
        <v>976</v>
      </c>
      <c r="B5" s="5" t="s">
        <v>57</v>
      </c>
      <c r="C5" s="5" t="s">
        <v>63</v>
      </c>
      <c r="D5" s="5">
        <v>1</v>
      </c>
      <c r="E5" s="5" t="s">
        <v>66</v>
      </c>
      <c r="F5" s="5" t="s">
        <v>12</v>
      </c>
      <c r="G5" s="7">
        <v>220000</v>
      </c>
      <c r="H5" s="7">
        <v>16000</v>
      </c>
      <c r="I5" s="23">
        <f t="shared" si="0"/>
        <v>192000</v>
      </c>
    </row>
    <row r="6" spans="1:9" ht="15" customHeight="1" x14ac:dyDescent="0.45">
      <c r="A6" s="2" t="s">
        <v>977</v>
      </c>
      <c r="B6" s="2" t="s">
        <v>13</v>
      </c>
      <c r="C6" s="2" t="s">
        <v>14</v>
      </c>
      <c r="D6" s="2">
        <v>1</v>
      </c>
      <c r="E6" s="2" t="s">
        <v>66</v>
      </c>
      <c r="F6" s="2" t="s">
        <v>12</v>
      </c>
      <c r="G6" s="4">
        <v>4651000</v>
      </c>
      <c r="H6" s="4">
        <v>342000</v>
      </c>
      <c r="I6" s="23">
        <f t="shared" si="0"/>
        <v>4104000</v>
      </c>
    </row>
    <row r="7" spans="1:9" ht="15" customHeight="1" x14ac:dyDescent="0.45">
      <c r="A7" s="5" t="s">
        <v>978</v>
      </c>
      <c r="B7" s="5" t="s">
        <v>13</v>
      </c>
      <c r="C7" s="5" t="s">
        <v>102</v>
      </c>
      <c r="D7" s="5">
        <v>1</v>
      </c>
      <c r="E7" s="5" t="s">
        <v>66</v>
      </c>
      <c r="F7" s="5" t="s">
        <v>12</v>
      </c>
      <c r="G7" s="7">
        <v>1836000</v>
      </c>
      <c r="H7" s="7">
        <v>135000</v>
      </c>
      <c r="I7" s="23">
        <f t="shared" si="0"/>
        <v>1620000</v>
      </c>
    </row>
    <row r="8" spans="1:9" ht="15" customHeight="1" x14ac:dyDescent="0.45">
      <c r="A8" s="2" t="s">
        <v>979</v>
      </c>
      <c r="B8" s="2" t="s">
        <v>13</v>
      </c>
      <c r="C8" s="2" t="s">
        <v>50</v>
      </c>
      <c r="D8" s="2">
        <v>1</v>
      </c>
      <c r="E8" s="2" t="s">
        <v>66</v>
      </c>
      <c r="F8" s="2" t="s">
        <v>12</v>
      </c>
      <c r="G8" s="4">
        <v>857000</v>
      </c>
      <c r="H8" s="4">
        <v>63000</v>
      </c>
      <c r="I8" s="23">
        <f t="shared" si="0"/>
        <v>756000</v>
      </c>
    </row>
    <row r="9" spans="1:9" ht="15" customHeight="1" x14ac:dyDescent="0.45">
      <c r="A9" s="5" t="s">
        <v>980</v>
      </c>
      <c r="B9" s="5" t="s">
        <v>13</v>
      </c>
      <c r="C9" s="5" t="s">
        <v>63</v>
      </c>
      <c r="D9" s="5">
        <v>1</v>
      </c>
      <c r="E9" s="5" t="s">
        <v>66</v>
      </c>
      <c r="F9" s="5" t="s">
        <v>12</v>
      </c>
      <c r="G9" s="7">
        <v>306000</v>
      </c>
      <c r="H9" s="7">
        <v>22000</v>
      </c>
      <c r="I9" s="23">
        <f t="shared" si="0"/>
        <v>264000</v>
      </c>
    </row>
    <row r="10" spans="1:9" ht="15" customHeight="1" x14ac:dyDescent="0.45">
      <c r="A10" s="2" t="s">
        <v>981</v>
      </c>
      <c r="B10" s="2" t="s">
        <v>24</v>
      </c>
      <c r="C10" s="2" t="s">
        <v>14</v>
      </c>
      <c r="D10" s="2">
        <v>1</v>
      </c>
      <c r="E10" s="2" t="s">
        <v>66</v>
      </c>
      <c r="F10" s="2" t="s">
        <v>12</v>
      </c>
      <c r="G10" s="4">
        <v>6120000</v>
      </c>
      <c r="H10" s="4">
        <v>450000</v>
      </c>
      <c r="I10" s="23">
        <f t="shared" si="0"/>
        <v>5400000</v>
      </c>
    </row>
    <row r="11" spans="1:9" ht="15" customHeight="1" x14ac:dyDescent="0.45">
      <c r="A11" s="5" t="s">
        <v>982</v>
      </c>
      <c r="B11" s="5" t="s">
        <v>24</v>
      </c>
      <c r="C11" s="5" t="s">
        <v>36</v>
      </c>
      <c r="D11" s="5">
        <v>1</v>
      </c>
      <c r="E11" s="5" t="s">
        <v>66</v>
      </c>
      <c r="F11" s="5" t="s">
        <v>12</v>
      </c>
      <c r="G11" s="7">
        <v>1102000</v>
      </c>
      <c r="H11" s="7">
        <v>81000</v>
      </c>
      <c r="I11" s="23">
        <f t="shared" si="0"/>
        <v>972000</v>
      </c>
    </row>
    <row r="12" spans="1:9" ht="15" customHeight="1" x14ac:dyDescent="0.45">
      <c r="A12" s="2" t="s">
        <v>983</v>
      </c>
      <c r="B12" s="2" t="s">
        <v>24</v>
      </c>
      <c r="C12" s="2" t="s">
        <v>25</v>
      </c>
      <c r="D12" s="2">
        <v>1</v>
      </c>
      <c r="E12" s="2" t="s">
        <v>66</v>
      </c>
      <c r="F12" s="2" t="s">
        <v>12</v>
      </c>
      <c r="G12" s="4">
        <v>979000</v>
      </c>
      <c r="H12" s="4">
        <v>72000</v>
      </c>
      <c r="I12" s="23">
        <f t="shared" si="0"/>
        <v>864000</v>
      </c>
    </row>
    <row r="13" spans="1:9" ht="15" customHeight="1" x14ac:dyDescent="0.45">
      <c r="A13" s="5" t="s">
        <v>984</v>
      </c>
      <c r="B13" s="5" t="s">
        <v>24</v>
      </c>
      <c r="C13" s="5" t="s">
        <v>44</v>
      </c>
      <c r="D13" s="5">
        <v>1</v>
      </c>
      <c r="E13" s="5" t="s">
        <v>66</v>
      </c>
      <c r="F13" s="5" t="s">
        <v>12</v>
      </c>
      <c r="G13" s="7">
        <v>1346000</v>
      </c>
      <c r="H13" s="7">
        <v>99000</v>
      </c>
      <c r="I13" s="23">
        <f t="shared" si="0"/>
        <v>1188000</v>
      </c>
    </row>
    <row r="14" spans="1:9" ht="15" customHeight="1" x14ac:dyDescent="0.45">
      <c r="A14" s="2" t="s">
        <v>985</v>
      </c>
      <c r="B14" s="2" t="s">
        <v>19</v>
      </c>
      <c r="C14" s="2" t="s">
        <v>14</v>
      </c>
      <c r="D14" s="2">
        <v>1</v>
      </c>
      <c r="E14" s="2" t="s">
        <v>66</v>
      </c>
      <c r="F14" s="2" t="s">
        <v>12</v>
      </c>
      <c r="G14" s="4">
        <v>4284000</v>
      </c>
      <c r="H14" s="4">
        <v>315000</v>
      </c>
      <c r="I14" s="23">
        <f t="shared" si="0"/>
        <v>3780000</v>
      </c>
    </row>
    <row r="15" spans="1:9" ht="15" customHeight="1" x14ac:dyDescent="0.45">
      <c r="A15" s="5" t="s">
        <v>986</v>
      </c>
      <c r="B15" s="5" t="s">
        <v>19</v>
      </c>
      <c r="C15" s="5" t="s">
        <v>53</v>
      </c>
      <c r="D15" s="5">
        <v>1</v>
      </c>
      <c r="E15" s="5" t="s">
        <v>66</v>
      </c>
      <c r="F15" s="5" t="s">
        <v>12</v>
      </c>
      <c r="G15" s="7">
        <v>734000</v>
      </c>
      <c r="H15" s="7">
        <v>54000</v>
      </c>
      <c r="I15" s="23">
        <f t="shared" si="0"/>
        <v>648000</v>
      </c>
    </row>
    <row r="16" spans="1:9" ht="15" customHeight="1" x14ac:dyDescent="0.45">
      <c r="A16" s="2" t="s">
        <v>987</v>
      </c>
      <c r="B16" s="2" t="s">
        <v>19</v>
      </c>
      <c r="C16" s="2" t="s">
        <v>31</v>
      </c>
      <c r="D16" s="2">
        <v>1</v>
      </c>
      <c r="E16" s="2" t="s">
        <v>66</v>
      </c>
      <c r="F16" s="2" t="s">
        <v>12</v>
      </c>
      <c r="G16" s="4">
        <v>551000</v>
      </c>
      <c r="H16" s="4">
        <v>40000</v>
      </c>
      <c r="I16" s="23">
        <f t="shared" si="0"/>
        <v>480000</v>
      </c>
    </row>
    <row r="17" spans="1:9" ht="15" customHeight="1" x14ac:dyDescent="0.45">
      <c r="A17" s="5" t="s">
        <v>988</v>
      </c>
      <c r="B17" s="5" t="s">
        <v>19</v>
      </c>
      <c r="C17" s="5" t="s">
        <v>63</v>
      </c>
      <c r="D17" s="5">
        <v>1</v>
      </c>
      <c r="E17" s="5" t="s">
        <v>66</v>
      </c>
      <c r="F17" s="5" t="s">
        <v>12</v>
      </c>
      <c r="G17" s="7">
        <v>245000</v>
      </c>
      <c r="H17" s="7">
        <v>18000</v>
      </c>
      <c r="I17" s="23">
        <f t="shared" si="0"/>
        <v>216000</v>
      </c>
    </row>
    <row r="18" spans="1:9" ht="15" customHeight="1" x14ac:dyDescent="0.45">
      <c r="A18" s="2" t="s">
        <v>989</v>
      </c>
      <c r="B18" s="2" t="s">
        <v>35</v>
      </c>
      <c r="C18" s="2" t="s">
        <v>14</v>
      </c>
      <c r="D18" s="2">
        <v>1</v>
      </c>
      <c r="E18" s="2" t="s">
        <v>66</v>
      </c>
      <c r="F18" s="2" t="s">
        <v>12</v>
      </c>
      <c r="G18" s="4">
        <v>3550000</v>
      </c>
      <c r="H18" s="4">
        <v>261000</v>
      </c>
      <c r="I18" s="23">
        <f t="shared" si="0"/>
        <v>3132000</v>
      </c>
    </row>
    <row r="19" spans="1:9" ht="15" customHeight="1" x14ac:dyDescent="0.45">
      <c r="A19" s="5" t="s">
        <v>990</v>
      </c>
      <c r="B19" s="5" t="s">
        <v>35</v>
      </c>
      <c r="C19" s="5" t="s">
        <v>105</v>
      </c>
      <c r="D19" s="5">
        <v>1</v>
      </c>
      <c r="E19" s="5" t="s">
        <v>66</v>
      </c>
      <c r="F19" s="5" t="s">
        <v>12</v>
      </c>
      <c r="G19" s="7">
        <v>490000</v>
      </c>
      <c r="H19" s="7">
        <v>36000</v>
      </c>
      <c r="I19" s="23">
        <f t="shared" si="0"/>
        <v>432000</v>
      </c>
    </row>
    <row r="20" spans="1:9" ht="15" customHeight="1" x14ac:dyDescent="0.45">
      <c r="A20" s="2" t="s">
        <v>991</v>
      </c>
      <c r="B20" s="2" t="s">
        <v>35</v>
      </c>
      <c r="C20" s="2" t="s">
        <v>36</v>
      </c>
      <c r="D20" s="2">
        <v>1</v>
      </c>
      <c r="E20" s="2" t="s">
        <v>66</v>
      </c>
      <c r="F20" s="2" t="s">
        <v>12</v>
      </c>
      <c r="G20" s="4">
        <v>367000</v>
      </c>
      <c r="H20" s="4">
        <v>27000</v>
      </c>
      <c r="I20" s="23">
        <f t="shared" si="0"/>
        <v>324000</v>
      </c>
    </row>
    <row r="21" spans="1:9" ht="15" customHeight="1" x14ac:dyDescent="0.45">
      <c r="A21" s="5" t="s">
        <v>992</v>
      </c>
      <c r="B21" s="5" t="s">
        <v>35</v>
      </c>
      <c r="C21" s="5" t="s">
        <v>75</v>
      </c>
      <c r="D21" s="5">
        <v>1</v>
      </c>
      <c r="E21" s="5" t="s">
        <v>66</v>
      </c>
      <c r="F21" s="5" t="s">
        <v>12</v>
      </c>
      <c r="G21" s="7">
        <v>184000</v>
      </c>
      <c r="H21" s="7">
        <v>14000</v>
      </c>
      <c r="I21" s="23">
        <f t="shared" si="0"/>
        <v>168000</v>
      </c>
    </row>
    <row r="22" spans="1:9" ht="15" customHeight="1" x14ac:dyDescent="0.45">
      <c r="A22" s="2" t="s">
        <v>993</v>
      </c>
      <c r="B22" s="2" t="s">
        <v>71</v>
      </c>
      <c r="C22" s="2" t="s">
        <v>14</v>
      </c>
      <c r="D22" s="2">
        <v>1</v>
      </c>
      <c r="E22" s="2" t="s">
        <v>66</v>
      </c>
      <c r="F22" s="2" t="s">
        <v>12</v>
      </c>
      <c r="G22" s="4">
        <v>5018000</v>
      </c>
      <c r="H22" s="4">
        <v>369000</v>
      </c>
      <c r="I22" s="23">
        <f t="shared" si="0"/>
        <v>4428000</v>
      </c>
    </row>
    <row r="23" spans="1:9" ht="15" customHeight="1" x14ac:dyDescent="0.45">
      <c r="A23" s="5" t="s">
        <v>994</v>
      </c>
      <c r="B23" s="5" t="s">
        <v>71</v>
      </c>
      <c r="C23" s="5" t="s">
        <v>88</v>
      </c>
      <c r="D23" s="5">
        <v>1</v>
      </c>
      <c r="E23" s="5" t="s">
        <v>66</v>
      </c>
      <c r="F23" s="5" t="s">
        <v>12</v>
      </c>
      <c r="G23" s="7">
        <v>2448000</v>
      </c>
      <c r="H23" s="7">
        <v>180000</v>
      </c>
      <c r="I23" s="23">
        <f t="shared" si="0"/>
        <v>2160000</v>
      </c>
    </row>
    <row r="24" spans="1:9" ht="15" customHeight="1" x14ac:dyDescent="0.45">
      <c r="A24" s="2" t="s">
        <v>995</v>
      </c>
      <c r="B24" s="2" t="s">
        <v>71</v>
      </c>
      <c r="C24" s="2" t="s">
        <v>63</v>
      </c>
      <c r="D24" s="2">
        <v>1</v>
      </c>
      <c r="E24" s="2" t="s">
        <v>66</v>
      </c>
      <c r="F24" s="2" t="s">
        <v>12</v>
      </c>
      <c r="G24" s="4">
        <v>673000</v>
      </c>
      <c r="H24" s="4">
        <v>50000</v>
      </c>
      <c r="I24" s="23">
        <f t="shared" si="0"/>
        <v>600000</v>
      </c>
    </row>
    <row r="25" spans="1:9" ht="15" customHeight="1" x14ac:dyDescent="0.45">
      <c r="A25" s="5" t="s">
        <v>996</v>
      </c>
      <c r="B25" s="5" t="s">
        <v>71</v>
      </c>
      <c r="C25" s="5" t="s">
        <v>94</v>
      </c>
      <c r="D25" s="5">
        <v>1</v>
      </c>
      <c r="E25" s="5" t="s">
        <v>66</v>
      </c>
      <c r="F25" s="5" t="s">
        <v>12</v>
      </c>
      <c r="G25" s="7">
        <v>367000</v>
      </c>
      <c r="H25" s="7">
        <v>27000</v>
      </c>
      <c r="I25" s="23">
        <f t="shared" si="0"/>
        <v>324000</v>
      </c>
    </row>
    <row r="26" spans="1:9" ht="15" customHeight="1" x14ac:dyDescent="0.45">
      <c r="A26" s="2" t="s">
        <v>997</v>
      </c>
      <c r="B26" s="2" t="s">
        <v>57</v>
      </c>
      <c r="C26" s="2" t="s">
        <v>14</v>
      </c>
      <c r="D26" s="2">
        <v>2</v>
      </c>
      <c r="E26" s="2" t="s">
        <v>11</v>
      </c>
      <c r="F26" s="2" t="s">
        <v>12</v>
      </c>
      <c r="G26" s="4">
        <v>5141000</v>
      </c>
      <c r="H26" s="4">
        <v>378000</v>
      </c>
      <c r="I26" s="23">
        <f t="shared" si="0"/>
        <v>4536000</v>
      </c>
    </row>
    <row r="27" spans="1:9" ht="15" customHeight="1" x14ac:dyDescent="0.45">
      <c r="A27" s="5" t="s">
        <v>998</v>
      </c>
      <c r="B27" s="5" t="s">
        <v>57</v>
      </c>
      <c r="C27" s="5" t="s">
        <v>75</v>
      </c>
      <c r="D27" s="5">
        <v>2</v>
      </c>
      <c r="E27" s="5" t="s">
        <v>11</v>
      </c>
      <c r="F27" s="5" t="s">
        <v>12</v>
      </c>
      <c r="G27" s="7">
        <v>428000</v>
      </c>
      <c r="H27" s="7">
        <v>32000</v>
      </c>
      <c r="I27" s="23">
        <f t="shared" si="0"/>
        <v>384000</v>
      </c>
    </row>
    <row r="28" spans="1:9" ht="15" customHeight="1" x14ac:dyDescent="0.45">
      <c r="A28" s="2" t="s">
        <v>999</v>
      </c>
      <c r="B28" s="2" t="s">
        <v>57</v>
      </c>
      <c r="C28" s="2" t="s">
        <v>85</v>
      </c>
      <c r="D28" s="2">
        <v>2</v>
      </c>
      <c r="E28" s="2" t="s">
        <v>11</v>
      </c>
      <c r="F28" s="2" t="s">
        <v>12</v>
      </c>
      <c r="G28" s="4">
        <v>673000</v>
      </c>
      <c r="H28" s="4">
        <v>50000</v>
      </c>
      <c r="I28" s="23">
        <f t="shared" si="0"/>
        <v>600000</v>
      </c>
    </row>
    <row r="29" spans="1:9" ht="15" customHeight="1" x14ac:dyDescent="0.45">
      <c r="A29" s="5" t="s">
        <v>1000</v>
      </c>
      <c r="B29" s="5" t="s">
        <v>57</v>
      </c>
      <c r="C29" s="5" t="s">
        <v>63</v>
      </c>
      <c r="D29" s="5">
        <v>2</v>
      </c>
      <c r="E29" s="5" t="s">
        <v>11</v>
      </c>
      <c r="F29" s="5" t="s">
        <v>12</v>
      </c>
      <c r="G29" s="7">
        <v>220000</v>
      </c>
      <c r="H29" s="7">
        <v>16000</v>
      </c>
      <c r="I29" s="23">
        <f t="shared" si="0"/>
        <v>192000</v>
      </c>
    </row>
    <row r="30" spans="1:9" ht="15" customHeight="1" x14ac:dyDescent="0.45">
      <c r="A30" s="2" t="s">
        <v>1001</v>
      </c>
      <c r="B30" s="2" t="s">
        <v>13</v>
      </c>
      <c r="C30" s="2" t="s">
        <v>14</v>
      </c>
      <c r="D30" s="2">
        <v>2</v>
      </c>
      <c r="E30" s="2" t="s">
        <v>11</v>
      </c>
      <c r="F30" s="2" t="s">
        <v>12</v>
      </c>
      <c r="G30" s="4">
        <v>4651000</v>
      </c>
      <c r="H30" s="4">
        <v>342000</v>
      </c>
      <c r="I30" s="23">
        <f t="shared" si="0"/>
        <v>4104000</v>
      </c>
    </row>
    <row r="31" spans="1:9" ht="15" customHeight="1" x14ac:dyDescent="0.45">
      <c r="A31" s="5" t="s">
        <v>1002</v>
      </c>
      <c r="B31" s="5" t="s">
        <v>13</v>
      </c>
      <c r="C31" s="5" t="s">
        <v>102</v>
      </c>
      <c r="D31" s="5">
        <v>2</v>
      </c>
      <c r="E31" s="5" t="s">
        <v>11</v>
      </c>
      <c r="F31" s="5" t="s">
        <v>12</v>
      </c>
      <c r="G31" s="7">
        <v>1836000</v>
      </c>
      <c r="H31" s="7">
        <v>135000</v>
      </c>
      <c r="I31" s="23">
        <f t="shared" si="0"/>
        <v>1620000</v>
      </c>
    </row>
    <row r="32" spans="1:9" ht="15" customHeight="1" x14ac:dyDescent="0.45">
      <c r="A32" s="2" t="s">
        <v>1003</v>
      </c>
      <c r="B32" s="2" t="s">
        <v>13</v>
      </c>
      <c r="C32" s="2" t="s">
        <v>50</v>
      </c>
      <c r="D32" s="2">
        <v>2</v>
      </c>
      <c r="E32" s="2" t="s">
        <v>11</v>
      </c>
      <c r="F32" s="2" t="s">
        <v>12</v>
      </c>
      <c r="G32" s="4">
        <v>857000</v>
      </c>
      <c r="H32" s="4">
        <v>63000</v>
      </c>
      <c r="I32" s="23">
        <f t="shared" si="0"/>
        <v>756000</v>
      </c>
    </row>
    <row r="33" spans="1:9" ht="15" customHeight="1" x14ac:dyDescent="0.45">
      <c r="A33" s="5" t="s">
        <v>1004</v>
      </c>
      <c r="B33" s="5" t="s">
        <v>13</v>
      </c>
      <c r="C33" s="5" t="s">
        <v>63</v>
      </c>
      <c r="D33" s="5">
        <v>2</v>
      </c>
      <c r="E33" s="5" t="s">
        <v>11</v>
      </c>
      <c r="F33" s="5" t="s">
        <v>12</v>
      </c>
      <c r="G33" s="7">
        <v>306000</v>
      </c>
      <c r="H33" s="7">
        <v>22000</v>
      </c>
      <c r="I33" s="23">
        <f t="shared" si="0"/>
        <v>264000</v>
      </c>
    </row>
    <row r="34" spans="1:9" ht="15" customHeight="1" x14ac:dyDescent="0.45">
      <c r="A34" s="2" t="s">
        <v>1005</v>
      </c>
      <c r="B34" s="2" t="s">
        <v>24</v>
      </c>
      <c r="C34" s="2" t="s">
        <v>14</v>
      </c>
      <c r="D34" s="2">
        <v>2</v>
      </c>
      <c r="E34" s="2" t="s">
        <v>11</v>
      </c>
      <c r="F34" s="2" t="s">
        <v>12</v>
      </c>
      <c r="G34" s="4">
        <v>6120000</v>
      </c>
      <c r="H34" s="4">
        <v>450000</v>
      </c>
      <c r="I34" s="23">
        <f t="shared" si="0"/>
        <v>5400000</v>
      </c>
    </row>
    <row r="35" spans="1:9" ht="15" customHeight="1" x14ac:dyDescent="0.45">
      <c r="A35" s="5" t="s">
        <v>1006</v>
      </c>
      <c r="B35" s="5" t="s">
        <v>24</v>
      </c>
      <c r="C35" s="5" t="s">
        <v>36</v>
      </c>
      <c r="D35" s="5">
        <v>2</v>
      </c>
      <c r="E35" s="5" t="s">
        <v>11</v>
      </c>
      <c r="F35" s="5" t="s">
        <v>12</v>
      </c>
      <c r="G35" s="7">
        <v>1102000</v>
      </c>
      <c r="H35" s="7">
        <v>81000</v>
      </c>
      <c r="I35" s="23">
        <f t="shared" si="0"/>
        <v>972000</v>
      </c>
    </row>
    <row r="36" spans="1:9" ht="15" customHeight="1" x14ac:dyDescent="0.45">
      <c r="A36" s="2" t="s">
        <v>1007</v>
      </c>
      <c r="B36" s="2" t="s">
        <v>24</v>
      </c>
      <c r="C36" s="2" t="s">
        <v>25</v>
      </c>
      <c r="D36" s="2">
        <v>2</v>
      </c>
      <c r="E36" s="2" t="s">
        <v>11</v>
      </c>
      <c r="F36" s="2" t="s">
        <v>12</v>
      </c>
      <c r="G36" s="4">
        <v>979000</v>
      </c>
      <c r="H36" s="4">
        <v>72000</v>
      </c>
      <c r="I36" s="23">
        <f t="shared" si="0"/>
        <v>864000</v>
      </c>
    </row>
    <row r="37" spans="1:9" ht="15" customHeight="1" x14ac:dyDescent="0.45">
      <c r="A37" s="5" t="s">
        <v>1008</v>
      </c>
      <c r="B37" s="5" t="s">
        <v>24</v>
      </c>
      <c r="C37" s="5" t="s">
        <v>44</v>
      </c>
      <c r="D37" s="5">
        <v>2</v>
      </c>
      <c r="E37" s="5" t="s">
        <v>11</v>
      </c>
      <c r="F37" s="5" t="s">
        <v>12</v>
      </c>
      <c r="G37" s="7">
        <v>1346000</v>
      </c>
      <c r="H37" s="7">
        <v>99000</v>
      </c>
      <c r="I37" s="23">
        <f t="shared" si="0"/>
        <v>1188000</v>
      </c>
    </row>
    <row r="38" spans="1:9" ht="15" customHeight="1" x14ac:dyDescent="0.45">
      <c r="A38" s="2" t="s">
        <v>1009</v>
      </c>
      <c r="B38" s="2" t="s">
        <v>19</v>
      </c>
      <c r="C38" s="2" t="s">
        <v>14</v>
      </c>
      <c r="D38" s="2">
        <v>2</v>
      </c>
      <c r="E38" s="2" t="s">
        <v>11</v>
      </c>
      <c r="F38" s="2" t="s">
        <v>12</v>
      </c>
      <c r="G38" s="4">
        <v>4284000</v>
      </c>
      <c r="H38" s="4">
        <v>315000</v>
      </c>
      <c r="I38" s="23">
        <f t="shared" si="0"/>
        <v>3780000</v>
      </c>
    </row>
    <row r="39" spans="1:9" ht="15" customHeight="1" x14ac:dyDescent="0.45">
      <c r="A39" s="5" t="s">
        <v>1010</v>
      </c>
      <c r="B39" s="5" t="s">
        <v>19</v>
      </c>
      <c r="C39" s="5" t="s">
        <v>53</v>
      </c>
      <c r="D39" s="5">
        <v>2</v>
      </c>
      <c r="E39" s="5" t="s">
        <v>11</v>
      </c>
      <c r="F39" s="5" t="s">
        <v>12</v>
      </c>
      <c r="G39" s="7">
        <v>734000</v>
      </c>
      <c r="H39" s="7">
        <v>54000</v>
      </c>
      <c r="I39" s="23">
        <f t="shared" si="0"/>
        <v>648000</v>
      </c>
    </row>
    <row r="40" spans="1:9" ht="15" customHeight="1" x14ac:dyDescent="0.45">
      <c r="A40" s="2" t="s">
        <v>1011</v>
      </c>
      <c r="B40" s="2" t="s">
        <v>19</v>
      </c>
      <c r="C40" s="2" t="s">
        <v>31</v>
      </c>
      <c r="D40" s="2">
        <v>2</v>
      </c>
      <c r="E40" s="2" t="s">
        <v>11</v>
      </c>
      <c r="F40" s="2" t="s">
        <v>12</v>
      </c>
      <c r="G40" s="4">
        <v>551000</v>
      </c>
      <c r="H40" s="4">
        <v>40000</v>
      </c>
      <c r="I40" s="23">
        <f t="shared" si="0"/>
        <v>480000</v>
      </c>
    </row>
    <row r="41" spans="1:9" ht="15" customHeight="1" x14ac:dyDescent="0.45">
      <c r="A41" s="5" t="s">
        <v>1012</v>
      </c>
      <c r="B41" s="5" t="s">
        <v>19</v>
      </c>
      <c r="C41" s="5" t="s">
        <v>63</v>
      </c>
      <c r="D41" s="5">
        <v>2</v>
      </c>
      <c r="E41" s="5" t="s">
        <v>11</v>
      </c>
      <c r="F41" s="5" t="s">
        <v>12</v>
      </c>
      <c r="G41" s="7">
        <v>245000</v>
      </c>
      <c r="H41" s="7">
        <v>18000</v>
      </c>
      <c r="I41" s="23">
        <f t="shared" si="0"/>
        <v>216000</v>
      </c>
    </row>
    <row r="42" spans="1:9" ht="15" customHeight="1" x14ac:dyDescent="0.45">
      <c r="A42" s="2" t="s">
        <v>1013</v>
      </c>
      <c r="B42" s="2" t="s">
        <v>35</v>
      </c>
      <c r="C42" s="2" t="s">
        <v>14</v>
      </c>
      <c r="D42" s="2">
        <v>2</v>
      </c>
      <c r="E42" s="2" t="s">
        <v>11</v>
      </c>
      <c r="F42" s="2" t="s">
        <v>12</v>
      </c>
      <c r="G42" s="4">
        <v>3550000</v>
      </c>
      <c r="H42" s="4">
        <v>261000</v>
      </c>
      <c r="I42" s="23">
        <f t="shared" si="0"/>
        <v>3132000</v>
      </c>
    </row>
    <row r="43" spans="1:9" ht="15" customHeight="1" x14ac:dyDescent="0.45">
      <c r="A43" s="5" t="s">
        <v>1014</v>
      </c>
      <c r="B43" s="5" t="s">
        <v>35</v>
      </c>
      <c r="C43" s="5" t="s">
        <v>105</v>
      </c>
      <c r="D43" s="5">
        <v>2</v>
      </c>
      <c r="E43" s="5" t="s">
        <v>11</v>
      </c>
      <c r="F43" s="5" t="s">
        <v>12</v>
      </c>
      <c r="G43" s="7">
        <v>490000</v>
      </c>
      <c r="H43" s="7">
        <v>36000</v>
      </c>
      <c r="I43" s="23">
        <f t="shared" si="0"/>
        <v>432000</v>
      </c>
    </row>
    <row r="44" spans="1:9" ht="15" customHeight="1" x14ac:dyDescent="0.45">
      <c r="A44" s="2" t="s">
        <v>1015</v>
      </c>
      <c r="B44" s="2" t="s">
        <v>35</v>
      </c>
      <c r="C44" s="2" t="s">
        <v>36</v>
      </c>
      <c r="D44" s="2">
        <v>2</v>
      </c>
      <c r="E44" s="2" t="s">
        <v>11</v>
      </c>
      <c r="F44" s="2" t="s">
        <v>12</v>
      </c>
      <c r="G44" s="4">
        <v>367000</v>
      </c>
      <c r="H44" s="4">
        <v>27000</v>
      </c>
      <c r="I44" s="23">
        <f t="shared" si="0"/>
        <v>324000</v>
      </c>
    </row>
    <row r="45" spans="1:9" ht="15" customHeight="1" x14ac:dyDescent="0.45">
      <c r="A45" s="5" t="s">
        <v>1016</v>
      </c>
      <c r="B45" s="5" t="s">
        <v>35</v>
      </c>
      <c r="C45" s="5" t="s">
        <v>75</v>
      </c>
      <c r="D45" s="5">
        <v>2</v>
      </c>
      <c r="E45" s="5" t="s">
        <v>11</v>
      </c>
      <c r="F45" s="5" t="s">
        <v>12</v>
      </c>
      <c r="G45" s="7">
        <v>184000</v>
      </c>
      <c r="H45" s="7">
        <v>14000</v>
      </c>
      <c r="I45" s="23">
        <f t="shared" si="0"/>
        <v>168000</v>
      </c>
    </row>
    <row r="46" spans="1:9" ht="15" customHeight="1" x14ac:dyDescent="0.45">
      <c r="A46" s="2" t="s">
        <v>1017</v>
      </c>
      <c r="B46" s="2" t="s">
        <v>71</v>
      </c>
      <c r="C46" s="2" t="s">
        <v>14</v>
      </c>
      <c r="D46" s="2">
        <v>2</v>
      </c>
      <c r="E46" s="2" t="s">
        <v>11</v>
      </c>
      <c r="F46" s="2" t="s">
        <v>12</v>
      </c>
      <c r="G46" s="4">
        <v>5018000</v>
      </c>
      <c r="H46" s="4">
        <v>369000</v>
      </c>
      <c r="I46" s="23">
        <f t="shared" si="0"/>
        <v>4428000</v>
      </c>
    </row>
    <row r="47" spans="1:9" ht="15" customHeight="1" x14ac:dyDescent="0.45">
      <c r="A47" s="5" t="s">
        <v>1018</v>
      </c>
      <c r="B47" s="5" t="s">
        <v>71</v>
      </c>
      <c r="C47" s="5" t="s">
        <v>88</v>
      </c>
      <c r="D47" s="5">
        <v>2</v>
      </c>
      <c r="E47" s="5" t="s">
        <v>11</v>
      </c>
      <c r="F47" s="5" t="s">
        <v>12</v>
      </c>
      <c r="G47" s="7">
        <v>2448000</v>
      </c>
      <c r="H47" s="7">
        <v>180000</v>
      </c>
      <c r="I47" s="23">
        <f t="shared" si="0"/>
        <v>2160000</v>
      </c>
    </row>
    <row r="48" spans="1:9" ht="15" customHeight="1" x14ac:dyDescent="0.45">
      <c r="A48" s="2" t="s">
        <v>1019</v>
      </c>
      <c r="B48" s="2" t="s">
        <v>71</v>
      </c>
      <c r="C48" s="2" t="s">
        <v>63</v>
      </c>
      <c r="D48" s="2">
        <v>2</v>
      </c>
      <c r="E48" s="2" t="s">
        <v>11</v>
      </c>
      <c r="F48" s="2" t="s">
        <v>12</v>
      </c>
      <c r="G48" s="4">
        <v>673000</v>
      </c>
      <c r="H48" s="4">
        <v>50000</v>
      </c>
      <c r="I48" s="23">
        <f t="shared" si="0"/>
        <v>600000</v>
      </c>
    </row>
    <row r="49" spans="1:9" ht="15" customHeight="1" x14ac:dyDescent="0.45">
      <c r="A49" s="5" t="s">
        <v>1020</v>
      </c>
      <c r="B49" s="5" t="s">
        <v>71</v>
      </c>
      <c r="C49" s="5" t="s">
        <v>94</v>
      </c>
      <c r="D49" s="5">
        <v>2</v>
      </c>
      <c r="E49" s="5" t="s">
        <v>11</v>
      </c>
      <c r="F49" s="5" t="s">
        <v>12</v>
      </c>
      <c r="G49" s="7">
        <v>367000</v>
      </c>
      <c r="H49" s="7">
        <v>27000</v>
      </c>
      <c r="I49" s="23">
        <f t="shared" si="0"/>
        <v>324000</v>
      </c>
    </row>
    <row r="50" spans="1:9" ht="15" customHeight="1" x14ac:dyDescent="0.45">
      <c r="A50" s="2" t="s">
        <v>1021</v>
      </c>
      <c r="B50" s="2" t="s">
        <v>57</v>
      </c>
      <c r="C50" s="2" t="s">
        <v>14</v>
      </c>
      <c r="D50" s="2">
        <v>3</v>
      </c>
      <c r="E50" s="2" t="s">
        <v>18</v>
      </c>
      <c r="F50" s="2" t="s">
        <v>12</v>
      </c>
      <c r="G50" s="4">
        <v>5141000</v>
      </c>
      <c r="H50" s="4">
        <v>462000</v>
      </c>
      <c r="I50" s="23">
        <f t="shared" si="0"/>
        <v>5544000</v>
      </c>
    </row>
    <row r="51" spans="1:9" ht="15" customHeight="1" x14ac:dyDescent="0.45">
      <c r="A51" s="5" t="s">
        <v>1022</v>
      </c>
      <c r="B51" s="5" t="s">
        <v>57</v>
      </c>
      <c r="C51" s="5" t="s">
        <v>75</v>
      </c>
      <c r="D51" s="5">
        <v>3</v>
      </c>
      <c r="E51" s="5" t="s">
        <v>18</v>
      </c>
      <c r="F51" s="5" t="s">
        <v>12</v>
      </c>
      <c r="G51" s="7">
        <v>428000</v>
      </c>
      <c r="H51" s="7">
        <v>38000</v>
      </c>
      <c r="I51" s="23">
        <f t="shared" si="0"/>
        <v>456000</v>
      </c>
    </row>
    <row r="52" spans="1:9" ht="15" customHeight="1" x14ac:dyDescent="0.45">
      <c r="A52" s="2" t="s">
        <v>1023</v>
      </c>
      <c r="B52" s="2" t="s">
        <v>57</v>
      </c>
      <c r="C52" s="2" t="s">
        <v>85</v>
      </c>
      <c r="D52" s="2">
        <v>3</v>
      </c>
      <c r="E52" s="2" t="s">
        <v>18</v>
      </c>
      <c r="F52" s="2" t="s">
        <v>12</v>
      </c>
      <c r="G52" s="4">
        <v>673000</v>
      </c>
      <c r="H52" s="4">
        <v>61000</v>
      </c>
      <c r="I52" s="23">
        <f t="shared" si="0"/>
        <v>732000</v>
      </c>
    </row>
    <row r="53" spans="1:9" ht="15" customHeight="1" x14ac:dyDescent="0.45">
      <c r="A53" s="5" t="s">
        <v>1024</v>
      </c>
      <c r="B53" s="5" t="s">
        <v>57</v>
      </c>
      <c r="C53" s="5" t="s">
        <v>63</v>
      </c>
      <c r="D53" s="5">
        <v>3</v>
      </c>
      <c r="E53" s="5" t="s">
        <v>18</v>
      </c>
      <c r="F53" s="5" t="s">
        <v>12</v>
      </c>
      <c r="G53" s="7">
        <v>220000</v>
      </c>
      <c r="H53" s="7">
        <v>20000</v>
      </c>
      <c r="I53" s="23">
        <f t="shared" si="0"/>
        <v>240000</v>
      </c>
    </row>
    <row r="54" spans="1:9" ht="15" customHeight="1" x14ac:dyDescent="0.45">
      <c r="A54" s="2" t="s">
        <v>1025</v>
      </c>
      <c r="B54" s="2" t="s">
        <v>13</v>
      </c>
      <c r="C54" s="2" t="s">
        <v>14</v>
      </c>
      <c r="D54" s="2">
        <v>3</v>
      </c>
      <c r="E54" s="2" t="s">
        <v>18</v>
      </c>
      <c r="F54" s="2" t="s">
        <v>12</v>
      </c>
      <c r="G54" s="4">
        <v>4651000</v>
      </c>
      <c r="H54" s="4">
        <v>418000</v>
      </c>
      <c r="I54" s="23">
        <f t="shared" si="0"/>
        <v>5016000</v>
      </c>
    </row>
    <row r="55" spans="1:9" ht="15" customHeight="1" x14ac:dyDescent="0.45">
      <c r="A55" s="5" t="s">
        <v>1026</v>
      </c>
      <c r="B55" s="5" t="s">
        <v>13</v>
      </c>
      <c r="C55" s="5" t="s">
        <v>102</v>
      </c>
      <c r="D55" s="5">
        <v>3</v>
      </c>
      <c r="E55" s="5" t="s">
        <v>18</v>
      </c>
      <c r="F55" s="5" t="s">
        <v>12</v>
      </c>
      <c r="G55" s="7">
        <v>1836000</v>
      </c>
      <c r="H55" s="7">
        <v>165000</v>
      </c>
      <c r="I55" s="23">
        <f t="shared" si="0"/>
        <v>1980000</v>
      </c>
    </row>
    <row r="56" spans="1:9" ht="15" customHeight="1" x14ac:dyDescent="0.45">
      <c r="A56" s="2" t="s">
        <v>1027</v>
      </c>
      <c r="B56" s="2" t="s">
        <v>13</v>
      </c>
      <c r="C56" s="2" t="s">
        <v>50</v>
      </c>
      <c r="D56" s="2">
        <v>3</v>
      </c>
      <c r="E56" s="2" t="s">
        <v>18</v>
      </c>
      <c r="F56" s="2" t="s">
        <v>12</v>
      </c>
      <c r="G56" s="4">
        <v>857000</v>
      </c>
      <c r="H56" s="4">
        <v>77000</v>
      </c>
      <c r="I56" s="23">
        <f t="shared" si="0"/>
        <v>924000</v>
      </c>
    </row>
    <row r="57" spans="1:9" ht="15" customHeight="1" x14ac:dyDescent="0.45">
      <c r="A57" s="5" t="s">
        <v>1028</v>
      </c>
      <c r="B57" s="5" t="s">
        <v>13</v>
      </c>
      <c r="C57" s="5" t="s">
        <v>63</v>
      </c>
      <c r="D57" s="5">
        <v>3</v>
      </c>
      <c r="E57" s="5" t="s">
        <v>18</v>
      </c>
      <c r="F57" s="5" t="s">
        <v>12</v>
      </c>
      <c r="G57" s="7">
        <v>306000</v>
      </c>
      <c r="H57" s="7">
        <v>28000</v>
      </c>
      <c r="I57" s="23">
        <f t="shared" si="0"/>
        <v>336000</v>
      </c>
    </row>
    <row r="58" spans="1:9" ht="15" customHeight="1" x14ac:dyDescent="0.45">
      <c r="A58" s="2" t="s">
        <v>1029</v>
      </c>
      <c r="B58" s="2" t="s">
        <v>24</v>
      </c>
      <c r="C58" s="2" t="s">
        <v>14</v>
      </c>
      <c r="D58" s="2">
        <v>3</v>
      </c>
      <c r="E58" s="2" t="s">
        <v>18</v>
      </c>
      <c r="F58" s="2" t="s">
        <v>12</v>
      </c>
      <c r="G58" s="4">
        <v>6120000</v>
      </c>
      <c r="H58" s="4">
        <v>550000</v>
      </c>
      <c r="I58" s="23">
        <f t="shared" si="0"/>
        <v>6600000</v>
      </c>
    </row>
    <row r="59" spans="1:9" ht="15" customHeight="1" x14ac:dyDescent="0.45">
      <c r="A59" s="5" t="s">
        <v>1030</v>
      </c>
      <c r="B59" s="5" t="s">
        <v>24</v>
      </c>
      <c r="C59" s="5" t="s">
        <v>36</v>
      </c>
      <c r="D59" s="5">
        <v>3</v>
      </c>
      <c r="E59" s="5" t="s">
        <v>18</v>
      </c>
      <c r="F59" s="5" t="s">
        <v>12</v>
      </c>
      <c r="G59" s="7">
        <v>1102000</v>
      </c>
      <c r="H59" s="7">
        <v>99000</v>
      </c>
      <c r="I59" s="23">
        <f t="shared" si="0"/>
        <v>1188000</v>
      </c>
    </row>
    <row r="60" spans="1:9" ht="15" customHeight="1" x14ac:dyDescent="0.45">
      <c r="A60" s="2" t="s">
        <v>1031</v>
      </c>
      <c r="B60" s="2" t="s">
        <v>24</v>
      </c>
      <c r="C60" s="2" t="s">
        <v>25</v>
      </c>
      <c r="D60" s="2">
        <v>3</v>
      </c>
      <c r="E60" s="2" t="s">
        <v>18</v>
      </c>
      <c r="F60" s="2" t="s">
        <v>12</v>
      </c>
      <c r="G60" s="4">
        <v>979000</v>
      </c>
      <c r="H60" s="4">
        <v>88000</v>
      </c>
      <c r="I60" s="23">
        <f t="shared" si="0"/>
        <v>1056000</v>
      </c>
    </row>
    <row r="61" spans="1:9" ht="15" customHeight="1" x14ac:dyDescent="0.45">
      <c r="A61" s="5" t="s">
        <v>1032</v>
      </c>
      <c r="B61" s="5" t="s">
        <v>24</v>
      </c>
      <c r="C61" s="5" t="s">
        <v>44</v>
      </c>
      <c r="D61" s="5">
        <v>3</v>
      </c>
      <c r="E61" s="5" t="s">
        <v>18</v>
      </c>
      <c r="F61" s="5" t="s">
        <v>12</v>
      </c>
      <c r="G61" s="7">
        <v>1346000</v>
      </c>
      <c r="H61" s="7">
        <v>121000</v>
      </c>
      <c r="I61" s="23">
        <f t="shared" si="0"/>
        <v>1452000</v>
      </c>
    </row>
    <row r="62" spans="1:9" ht="15" customHeight="1" x14ac:dyDescent="0.45">
      <c r="A62" s="2" t="s">
        <v>1033</v>
      </c>
      <c r="B62" s="2" t="s">
        <v>19</v>
      </c>
      <c r="C62" s="2" t="s">
        <v>14</v>
      </c>
      <c r="D62" s="2">
        <v>3</v>
      </c>
      <c r="E62" s="2" t="s">
        <v>18</v>
      </c>
      <c r="F62" s="2" t="s">
        <v>12</v>
      </c>
      <c r="G62" s="4">
        <v>4284000</v>
      </c>
      <c r="H62" s="4">
        <v>385000</v>
      </c>
      <c r="I62" s="23">
        <f t="shared" si="0"/>
        <v>4620000</v>
      </c>
    </row>
    <row r="63" spans="1:9" ht="15" customHeight="1" x14ac:dyDescent="0.45">
      <c r="A63" s="5" t="s">
        <v>1034</v>
      </c>
      <c r="B63" s="5" t="s">
        <v>19</v>
      </c>
      <c r="C63" s="5" t="s">
        <v>53</v>
      </c>
      <c r="D63" s="5">
        <v>3</v>
      </c>
      <c r="E63" s="5" t="s">
        <v>18</v>
      </c>
      <c r="F63" s="5" t="s">
        <v>12</v>
      </c>
      <c r="G63" s="7">
        <v>734000</v>
      </c>
      <c r="H63" s="7">
        <v>66000</v>
      </c>
      <c r="I63" s="23">
        <f t="shared" si="0"/>
        <v>792000</v>
      </c>
    </row>
    <row r="64" spans="1:9" ht="15" customHeight="1" x14ac:dyDescent="0.45">
      <c r="A64" s="2" t="s">
        <v>1035</v>
      </c>
      <c r="B64" s="2" t="s">
        <v>19</v>
      </c>
      <c r="C64" s="2" t="s">
        <v>31</v>
      </c>
      <c r="D64" s="2">
        <v>3</v>
      </c>
      <c r="E64" s="2" t="s">
        <v>18</v>
      </c>
      <c r="F64" s="2" t="s">
        <v>12</v>
      </c>
      <c r="G64" s="4">
        <v>551000</v>
      </c>
      <c r="H64" s="4">
        <v>50000</v>
      </c>
      <c r="I64" s="23">
        <f t="shared" si="0"/>
        <v>600000</v>
      </c>
    </row>
    <row r="65" spans="1:9" ht="15" customHeight="1" x14ac:dyDescent="0.45">
      <c r="A65" s="5" t="s">
        <v>1036</v>
      </c>
      <c r="B65" s="5" t="s">
        <v>19</v>
      </c>
      <c r="C65" s="5" t="s">
        <v>63</v>
      </c>
      <c r="D65" s="5">
        <v>3</v>
      </c>
      <c r="E65" s="5" t="s">
        <v>18</v>
      </c>
      <c r="F65" s="5" t="s">
        <v>12</v>
      </c>
      <c r="G65" s="7">
        <v>245000</v>
      </c>
      <c r="H65" s="7">
        <v>22000</v>
      </c>
      <c r="I65" s="23">
        <f t="shared" si="0"/>
        <v>264000</v>
      </c>
    </row>
    <row r="66" spans="1:9" ht="15" customHeight="1" x14ac:dyDescent="0.45">
      <c r="A66" s="2" t="s">
        <v>1037</v>
      </c>
      <c r="B66" s="2" t="s">
        <v>35</v>
      </c>
      <c r="C66" s="2" t="s">
        <v>14</v>
      </c>
      <c r="D66" s="2">
        <v>3</v>
      </c>
      <c r="E66" s="2" t="s">
        <v>18</v>
      </c>
      <c r="F66" s="2" t="s">
        <v>12</v>
      </c>
      <c r="G66" s="4">
        <v>3550000</v>
      </c>
      <c r="H66" s="4">
        <v>319000</v>
      </c>
      <c r="I66" s="23">
        <f t="shared" si="0"/>
        <v>3828000</v>
      </c>
    </row>
    <row r="67" spans="1:9" ht="15" customHeight="1" x14ac:dyDescent="0.45">
      <c r="A67" s="5" t="s">
        <v>1038</v>
      </c>
      <c r="B67" s="5" t="s">
        <v>35</v>
      </c>
      <c r="C67" s="5" t="s">
        <v>105</v>
      </c>
      <c r="D67" s="5">
        <v>3</v>
      </c>
      <c r="E67" s="5" t="s">
        <v>18</v>
      </c>
      <c r="F67" s="5" t="s">
        <v>12</v>
      </c>
      <c r="G67" s="7">
        <v>490000</v>
      </c>
      <c r="H67" s="7">
        <v>44000</v>
      </c>
      <c r="I67" s="23">
        <f t="shared" ref="I67:I130" si="1">H67*12</f>
        <v>528000</v>
      </c>
    </row>
    <row r="68" spans="1:9" ht="15" customHeight="1" x14ac:dyDescent="0.45">
      <c r="A68" s="2" t="s">
        <v>1039</v>
      </c>
      <c r="B68" s="2" t="s">
        <v>35</v>
      </c>
      <c r="C68" s="2" t="s">
        <v>36</v>
      </c>
      <c r="D68" s="2">
        <v>3</v>
      </c>
      <c r="E68" s="2" t="s">
        <v>18</v>
      </c>
      <c r="F68" s="2" t="s">
        <v>12</v>
      </c>
      <c r="G68" s="4">
        <v>367000</v>
      </c>
      <c r="H68" s="4">
        <v>33000</v>
      </c>
      <c r="I68" s="23">
        <f t="shared" si="1"/>
        <v>396000</v>
      </c>
    </row>
    <row r="69" spans="1:9" ht="15" customHeight="1" x14ac:dyDescent="0.45">
      <c r="A69" s="5" t="s">
        <v>1040</v>
      </c>
      <c r="B69" s="5" t="s">
        <v>35</v>
      </c>
      <c r="C69" s="5" t="s">
        <v>75</v>
      </c>
      <c r="D69" s="5">
        <v>3</v>
      </c>
      <c r="E69" s="5" t="s">
        <v>18</v>
      </c>
      <c r="F69" s="5" t="s">
        <v>12</v>
      </c>
      <c r="G69" s="7">
        <v>184000</v>
      </c>
      <c r="H69" s="7">
        <v>16000</v>
      </c>
      <c r="I69" s="23">
        <f t="shared" si="1"/>
        <v>192000</v>
      </c>
    </row>
    <row r="70" spans="1:9" ht="15" customHeight="1" x14ac:dyDescent="0.45">
      <c r="A70" s="2" t="s">
        <v>1041</v>
      </c>
      <c r="B70" s="2" t="s">
        <v>71</v>
      </c>
      <c r="C70" s="2" t="s">
        <v>14</v>
      </c>
      <c r="D70" s="2">
        <v>3</v>
      </c>
      <c r="E70" s="2" t="s">
        <v>18</v>
      </c>
      <c r="F70" s="2" t="s">
        <v>12</v>
      </c>
      <c r="G70" s="4">
        <v>5018000</v>
      </c>
      <c r="H70" s="4">
        <v>451000</v>
      </c>
      <c r="I70" s="23">
        <f t="shared" si="1"/>
        <v>5412000</v>
      </c>
    </row>
    <row r="71" spans="1:9" ht="15" customHeight="1" x14ac:dyDescent="0.45">
      <c r="A71" s="5" t="s">
        <v>1042</v>
      </c>
      <c r="B71" s="5" t="s">
        <v>71</v>
      </c>
      <c r="C71" s="5" t="s">
        <v>88</v>
      </c>
      <c r="D71" s="5">
        <v>3</v>
      </c>
      <c r="E71" s="5" t="s">
        <v>18</v>
      </c>
      <c r="F71" s="5" t="s">
        <v>12</v>
      </c>
      <c r="G71" s="7">
        <v>2448000</v>
      </c>
      <c r="H71" s="7">
        <v>220000</v>
      </c>
      <c r="I71" s="23">
        <f t="shared" si="1"/>
        <v>2640000</v>
      </c>
    </row>
    <row r="72" spans="1:9" ht="15" customHeight="1" x14ac:dyDescent="0.45">
      <c r="A72" s="2" t="s">
        <v>1043</v>
      </c>
      <c r="B72" s="2" t="s">
        <v>71</v>
      </c>
      <c r="C72" s="2" t="s">
        <v>63</v>
      </c>
      <c r="D72" s="2">
        <v>3</v>
      </c>
      <c r="E72" s="2" t="s">
        <v>18</v>
      </c>
      <c r="F72" s="2" t="s">
        <v>12</v>
      </c>
      <c r="G72" s="4">
        <v>673000</v>
      </c>
      <c r="H72" s="4">
        <v>61000</v>
      </c>
      <c r="I72" s="23">
        <f t="shared" si="1"/>
        <v>732000</v>
      </c>
    </row>
    <row r="73" spans="1:9" ht="15" customHeight="1" x14ac:dyDescent="0.45">
      <c r="A73" s="5" t="s">
        <v>1044</v>
      </c>
      <c r="B73" s="5" t="s">
        <v>71</v>
      </c>
      <c r="C73" s="5" t="s">
        <v>94</v>
      </c>
      <c r="D73" s="5">
        <v>3</v>
      </c>
      <c r="E73" s="5" t="s">
        <v>18</v>
      </c>
      <c r="F73" s="5" t="s">
        <v>12</v>
      </c>
      <c r="G73" s="7">
        <v>367000</v>
      </c>
      <c r="H73" s="7">
        <v>33000</v>
      </c>
      <c r="I73" s="23">
        <f t="shared" si="1"/>
        <v>396000</v>
      </c>
    </row>
    <row r="74" spans="1:9" ht="15" customHeight="1" x14ac:dyDescent="0.45">
      <c r="A74" s="2" t="s">
        <v>1045</v>
      </c>
      <c r="B74" s="2" t="s">
        <v>57</v>
      </c>
      <c r="C74" s="2" t="s">
        <v>14</v>
      </c>
      <c r="D74" s="2">
        <v>4</v>
      </c>
      <c r="E74" s="2" t="s">
        <v>47</v>
      </c>
      <c r="F74" s="2" t="s">
        <v>23</v>
      </c>
      <c r="G74" s="4">
        <v>5141000</v>
      </c>
      <c r="H74" s="4">
        <v>420000</v>
      </c>
      <c r="I74" s="23">
        <f t="shared" si="1"/>
        <v>5040000</v>
      </c>
    </row>
    <row r="75" spans="1:9" ht="15" customHeight="1" x14ac:dyDescent="0.45">
      <c r="A75" s="5" t="s">
        <v>1046</v>
      </c>
      <c r="B75" s="5" t="s">
        <v>57</v>
      </c>
      <c r="C75" s="5" t="s">
        <v>75</v>
      </c>
      <c r="D75" s="5">
        <v>4</v>
      </c>
      <c r="E75" s="5" t="s">
        <v>47</v>
      </c>
      <c r="F75" s="5" t="s">
        <v>23</v>
      </c>
      <c r="G75" s="7">
        <v>428000</v>
      </c>
      <c r="H75" s="7">
        <v>35000</v>
      </c>
      <c r="I75" s="23">
        <f t="shared" si="1"/>
        <v>420000</v>
      </c>
    </row>
    <row r="76" spans="1:9" ht="15" customHeight="1" x14ac:dyDescent="0.45">
      <c r="A76" s="2" t="s">
        <v>1047</v>
      </c>
      <c r="B76" s="2" t="s">
        <v>57</v>
      </c>
      <c r="C76" s="2" t="s">
        <v>85</v>
      </c>
      <c r="D76" s="2">
        <v>4</v>
      </c>
      <c r="E76" s="2" t="s">
        <v>47</v>
      </c>
      <c r="F76" s="2" t="s">
        <v>23</v>
      </c>
      <c r="G76" s="4">
        <v>673000</v>
      </c>
      <c r="H76" s="4">
        <v>55000</v>
      </c>
      <c r="I76" s="23">
        <f t="shared" si="1"/>
        <v>660000</v>
      </c>
    </row>
    <row r="77" spans="1:9" ht="15" customHeight="1" x14ac:dyDescent="0.45">
      <c r="A77" s="5" t="s">
        <v>1048</v>
      </c>
      <c r="B77" s="5" t="s">
        <v>57</v>
      </c>
      <c r="C77" s="5" t="s">
        <v>63</v>
      </c>
      <c r="D77" s="5">
        <v>4</v>
      </c>
      <c r="E77" s="5" t="s">
        <v>47</v>
      </c>
      <c r="F77" s="5" t="s">
        <v>23</v>
      </c>
      <c r="G77" s="7">
        <v>220000</v>
      </c>
      <c r="H77" s="7">
        <v>18000</v>
      </c>
      <c r="I77" s="23">
        <f t="shared" si="1"/>
        <v>216000</v>
      </c>
    </row>
    <row r="78" spans="1:9" ht="15" customHeight="1" x14ac:dyDescent="0.45">
      <c r="A78" s="2" t="s">
        <v>1049</v>
      </c>
      <c r="B78" s="2" t="s">
        <v>13</v>
      </c>
      <c r="C78" s="2" t="s">
        <v>14</v>
      </c>
      <c r="D78" s="2">
        <v>4</v>
      </c>
      <c r="E78" s="2" t="s">
        <v>47</v>
      </c>
      <c r="F78" s="2" t="s">
        <v>23</v>
      </c>
      <c r="G78" s="4">
        <v>4651000</v>
      </c>
      <c r="H78" s="4">
        <v>380000</v>
      </c>
      <c r="I78" s="23">
        <f t="shared" si="1"/>
        <v>4560000</v>
      </c>
    </row>
    <row r="79" spans="1:9" ht="15" customHeight="1" x14ac:dyDescent="0.45">
      <c r="A79" s="5" t="s">
        <v>1050</v>
      </c>
      <c r="B79" s="5" t="s">
        <v>13</v>
      </c>
      <c r="C79" s="5" t="s">
        <v>102</v>
      </c>
      <c r="D79" s="5">
        <v>4</v>
      </c>
      <c r="E79" s="5" t="s">
        <v>47</v>
      </c>
      <c r="F79" s="5" t="s">
        <v>23</v>
      </c>
      <c r="G79" s="7">
        <v>1836000</v>
      </c>
      <c r="H79" s="7">
        <v>150000</v>
      </c>
      <c r="I79" s="23">
        <f t="shared" si="1"/>
        <v>1800000</v>
      </c>
    </row>
    <row r="80" spans="1:9" ht="15" customHeight="1" x14ac:dyDescent="0.45">
      <c r="A80" s="2" t="s">
        <v>1051</v>
      </c>
      <c r="B80" s="2" t="s">
        <v>13</v>
      </c>
      <c r="C80" s="2" t="s">
        <v>50</v>
      </c>
      <c r="D80" s="2">
        <v>4</v>
      </c>
      <c r="E80" s="2" t="s">
        <v>47</v>
      </c>
      <c r="F80" s="2" t="s">
        <v>23</v>
      </c>
      <c r="G80" s="4">
        <v>857000</v>
      </c>
      <c r="H80" s="4">
        <v>70000</v>
      </c>
      <c r="I80" s="23">
        <f t="shared" si="1"/>
        <v>840000</v>
      </c>
    </row>
    <row r="81" spans="1:9" ht="15" customHeight="1" x14ac:dyDescent="0.45">
      <c r="A81" s="5" t="s">
        <v>1052</v>
      </c>
      <c r="B81" s="5" t="s">
        <v>13</v>
      </c>
      <c r="C81" s="5" t="s">
        <v>63</v>
      </c>
      <c r="D81" s="5">
        <v>4</v>
      </c>
      <c r="E81" s="5" t="s">
        <v>47</v>
      </c>
      <c r="F81" s="5" t="s">
        <v>23</v>
      </c>
      <c r="G81" s="7">
        <v>306000</v>
      </c>
      <c r="H81" s="7">
        <v>25000</v>
      </c>
      <c r="I81" s="23">
        <f t="shared" si="1"/>
        <v>300000</v>
      </c>
    </row>
    <row r="82" spans="1:9" ht="15" customHeight="1" x14ac:dyDescent="0.45">
      <c r="A82" s="2" t="s">
        <v>1053</v>
      </c>
      <c r="B82" s="2" t="s">
        <v>24</v>
      </c>
      <c r="C82" s="2" t="s">
        <v>14</v>
      </c>
      <c r="D82" s="2">
        <v>4</v>
      </c>
      <c r="E82" s="2" t="s">
        <v>47</v>
      </c>
      <c r="F82" s="2" t="s">
        <v>23</v>
      </c>
      <c r="G82" s="4">
        <v>6120000</v>
      </c>
      <c r="H82" s="4">
        <v>500000</v>
      </c>
      <c r="I82" s="23">
        <f t="shared" si="1"/>
        <v>6000000</v>
      </c>
    </row>
    <row r="83" spans="1:9" ht="15" customHeight="1" x14ac:dyDescent="0.45">
      <c r="A83" s="5" t="s">
        <v>1054</v>
      </c>
      <c r="B83" s="5" t="s">
        <v>24</v>
      </c>
      <c r="C83" s="5" t="s">
        <v>36</v>
      </c>
      <c r="D83" s="5">
        <v>4</v>
      </c>
      <c r="E83" s="5" t="s">
        <v>47</v>
      </c>
      <c r="F83" s="5" t="s">
        <v>23</v>
      </c>
      <c r="G83" s="7">
        <v>1102000</v>
      </c>
      <c r="H83" s="7">
        <v>90000</v>
      </c>
      <c r="I83" s="23">
        <f t="shared" si="1"/>
        <v>1080000</v>
      </c>
    </row>
    <row r="84" spans="1:9" ht="15" customHeight="1" x14ac:dyDescent="0.45">
      <c r="A84" s="2" t="s">
        <v>1055</v>
      </c>
      <c r="B84" s="2" t="s">
        <v>24</v>
      </c>
      <c r="C84" s="2" t="s">
        <v>25</v>
      </c>
      <c r="D84" s="2">
        <v>4</v>
      </c>
      <c r="E84" s="2" t="s">
        <v>47</v>
      </c>
      <c r="F84" s="2" t="s">
        <v>23</v>
      </c>
      <c r="G84" s="4">
        <v>979000</v>
      </c>
      <c r="H84" s="4">
        <v>80000</v>
      </c>
      <c r="I84" s="23">
        <f t="shared" si="1"/>
        <v>960000</v>
      </c>
    </row>
    <row r="85" spans="1:9" ht="15" customHeight="1" x14ac:dyDescent="0.45">
      <c r="A85" s="5" t="s">
        <v>1056</v>
      </c>
      <c r="B85" s="5" t="s">
        <v>24</v>
      </c>
      <c r="C85" s="5" t="s">
        <v>44</v>
      </c>
      <c r="D85" s="5">
        <v>4</v>
      </c>
      <c r="E85" s="5" t="s">
        <v>47</v>
      </c>
      <c r="F85" s="5" t="s">
        <v>23</v>
      </c>
      <c r="G85" s="7">
        <v>1346000</v>
      </c>
      <c r="H85" s="7">
        <v>110000</v>
      </c>
      <c r="I85" s="23">
        <f t="shared" si="1"/>
        <v>1320000</v>
      </c>
    </row>
    <row r="86" spans="1:9" ht="15" customHeight="1" x14ac:dyDescent="0.45">
      <c r="A86" s="2" t="s">
        <v>1057</v>
      </c>
      <c r="B86" s="2" t="s">
        <v>19</v>
      </c>
      <c r="C86" s="2" t="s">
        <v>14</v>
      </c>
      <c r="D86" s="2">
        <v>4</v>
      </c>
      <c r="E86" s="2" t="s">
        <v>47</v>
      </c>
      <c r="F86" s="2" t="s">
        <v>23</v>
      </c>
      <c r="G86" s="4">
        <v>4284000</v>
      </c>
      <c r="H86" s="4">
        <v>350000</v>
      </c>
      <c r="I86" s="23">
        <f t="shared" si="1"/>
        <v>4200000</v>
      </c>
    </row>
    <row r="87" spans="1:9" ht="15" customHeight="1" x14ac:dyDescent="0.45">
      <c r="A87" s="5" t="s">
        <v>1058</v>
      </c>
      <c r="B87" s="5" t="s">
        <v>19</v>
      </c>
      <c r="C87" s="5" t="s">
        <v>53</v>
      </c>
      <c r="D87" s="5">
        <v>4</v>
      </c>
      <c r="E87" s="5" t="s">
        <v>47</v>
      </c>
      <c r="F87" s="5" t="s">
        <v>23</v>
      </c>
      <c r="G87" s="7">
        <v>734000</v>
      </c>
      <c r="H87" s="7">
        <v>60000</v>
      </c>
      <c r="I87" s="23">
        <f t="shared" si="1"/>
        <v>720000</v>
      </c>
    </row>
    <row r="88" spans="1:9" ht="15" customHeight="1" x14ac:dyDescent="0.45">
      <c r="A88" s="2" t="s">
        <v>1059</v>
      </c>
      <c r="B88" s="2" t="s">
        <v>19</v>
      </c>
      <c r="C88" s="2" t="s">
        <v>31</v>
      </c>
      <c r="D88" s="2">
        <v>4</v>
      </c>
      <c r="E88" s="2" t="s">
        <v>47</v>
      </c>
      <c r="F88" s="2" t="s">
        <v>23</v>
      </c>
      <c r="G88" s="4">
        <v>551000</v>
      </c>
      <c r="H88" s="4">
        <v>45000</v>
      </c>
      <c r="I88" s="23">
        <f t="shared" si="1"/>
        <v>540000</v>
      </c>
    </row>
    <row r="89" spans="1:9" ht="15" customHeight="1" x14ac:dyDescent="0.45">
      <c r="A89" s="5" t="s">
        <v>1060</v>
      </c>
      <c r="B89" s="5" t="s">
        <v>19</v>
      </c>
      <c r="C89" s="5" t="s">
        <v>63</v>
      </c>
      <c r="D89" s="5">
        <v>4</v>
      </c>
      <c r="E89" s="5" t="s">
        <v>47</v>
      </c>
      <c r="F89" s="5" t="s">
        <v>23</v>
      </c>
      <c r="G89" s="7">
        <v>245000</v>
      </c>
      <c r="H89" s="7">
        <v>20000</v>
      </c>
      <c r="I89" s="23">
        <f t="shared" si="1"/>
        <v>240000</v>
      </c>
    </row>
    <row r="90" spans="1:9" ht="15" customHeight="1" x14ac:dyDescent="0.45">
      <c r="A90" s="2" t="s">
        <v>1061</v>
      </c>
      <c r="B90" s="2" t="s">
        <v>35</v>
      </c>
      <c r="C90" s="2" t="s">
        <v>14</v>
      </c>
      <c r="D90" s="2">
        <v>4</v>
      </c>
      <c r="E90" s="2" t="s">
        <v>47</v>
      </c>
      <c r="F90" s="2" t="s">
        <v>23</v>
      </c>
      <c r="G90" s="4">
        <v>3550000</v>
      </c>
      <c r="H90" s="4">
        <v>290000</v>
      </c>
      <c r="I90" s="23">
        <f t="shared" si="1"/>
        <v>3480000</v>
      </c>
    </row>
    <row r="91" spans="1:9" ht="15" customHeight="1" x14ac:dyDescent="0.45">
      <c r="A91" s="5" t="s">
        <v>1062</v>
      </c>
      <c r="B91" s="5" t="s">
        <v>35</v>
      </c>
      <c r="C91" s="5" t="s">
        <v>105</v>
      </c>
      <c r="D91" s="5">
        <v>4</v>
      </c>
      <c r="E91" s="5" t="s">
        <v>47</v>
      </c>
      <c r="F91" s="5" t="s">
        <v>23</v>
      </c>
      <c r="G91" s="7">
        <v>490000</v>
      </c>
      <c r="H91" s="7">
        <v>40000</v>
      </c>
      <c r="I91" s="23">
        <f t="shared" si="1"/>
        <v>480000</v>
      </c>
    </row>
    <row r="92" spans="1:9" ht="15" customHeight="1" x14ac:dyDescent="0.45">
      <c r="A92" s="2" t="s">
        <v>1063</v>
      </c>
      <c r="B92" s="2" t="s">
        <v>35</v>
      </c>
      <c r="C92" s="2" t="s">
        <v>36</v>
      </c>
      <c r="D92" s="2">
        <v>4</v>
      </c>
      <c r="E92" s="2" t="s">
        <v>47</v>
      </c>
      <c r="F92" s="2" t="s">
        <v>23</v>
      </c>
      <c r="G92" s="4">
        <v>367000</v>
      </c>
      <c r="H92" s="4">
        <v>30000</v>
      </c>
      <c r="I92" s="23">
        <f t="shared" si="1"/>
        <v>360000</v>
      </c>
    </row>
    <row r="93" spans="1:9" ht="15" customHeight="1" x14ac:dyDescent="0.45">
      <c r="A93" s="5" t="s">
        <v>1064</v>
      </c>
      <c r="B93" s="5" t="s">
        <v>35</v>
      </c>
      <c r="C93" s="5" t="s">
        <v>75</v>
      </c>
      <c r="D93" s="5">
        <v>4</v>
      </c>
      <c r="E93" s="5" t="s">
        <v>47</v>
      </c>
      <c r="F93" s="5" t="s">
        <v>23</v>
      </c>
      <c r="G93" s="7">
        <v>184000</v>
      </c>
      <c r="H93" s="7">
        <v>15000</v>
      </c>
      <c r="I93" s="23">
        <f t="shared" si="1"/>
        <v>180000</v>
      </c>
    </row>
    <row r="94" spans="1:9" ht="15" customHeight="1" x14ac:dyDescent="0.45">
      <c r="A94" s="2" t="s">
        <v>1065</v>
      </c>
      <c r="B94" s="2" t="s">
        <v>71</v>
      </c>
      <c r="C94" s="2" t="s">
        <v>14</v>
      </c>
      <c r="D94" s="2">
        <v>4</v>
      </c>
      <c r="E94" s="2" t="s">
        <v>47</v>
      </c>
      <c r="F94" s="2" t="s">
        <v>23</v>
      </c>
      <c r="G94" s="4">
        <v>5018000</v>
      </c>
      <c r="H94" s="4">
        <v>410000</v>
      </c>
      <c r="I94" s="23">
        <f t="shared" si="1"/>
        <v>4920000</v>
      </c>
    </row>
    <row r="95" spans="1:9" ht="15" customHeight="1" x14ac:dyDescent="0.45">
      <c r="A95" s="5" t="s">
        <v>1066</v>
      </c>
      <c r="B95" s="5" t="s">
        <v>71</v>
      </c>
      <c r="C95" s="5" t="s">
        <v>88</v>
      </c>
      <c r="D95" s="5">
        <v>4</v>
      </c>
      <c r="E95" s="5" t="s">
        <v>47</v>
      </c>
      <c r="F95" s="5" t="s">
        <v>23</v>
      </c>
      <c r="G95" s="7">
        <v>2448000</v>
      </c>
      <c r="H95" s="7">
        <v>200000</v>
      </c>
      <c r="I95" s="23">
        <f t="shared" si="1"/>
        <v>2400000</v>
      </c>
    </row>
    <row r="96" spans="1:9" ht="15" customHeight="1" x14ac:dyDescent="0.45">
      <c r="A96" s="2" t="s">
        <v>1067</v>
      </c>
      <c r="B96" s="2" t="s">
        <v>71</v>
      </c>
      <c r="C96" s="2" t="s">
        <v>63</v>
      </c>
      <c r="D96" s="2">
        <v>4</v>
      </c>
      <c r="E96" s="2" t="s">
        <v>47</v>
      </c>
      <c r="F96" s="2" t="s">
        <v>23</v>
      </c>
      <c r="G96" s="4">
        <v>673000</v>
      </c>
      <c r="H96" s="4">
        <v>55000</v>
      </c>
      <c r="I96" s="23">
        <f t="shared" si="1"/>
        <v>660000</v>
      </c>
    </row>
    <row r="97" spans="1:9" ht="15" customHeight="1" x14ac:dyDescent="0.45">
      <c r="A97" s="5" t="s">
        <v>1068</v>
      </c>
      <c r="B97" s="5" t="s">
        <v>71</v>
      </c>
      <c r="C97" s="5" t="s">
        <v>94</v>
      </c>
      <c r="D97" s="5">
        <v>4</v>
      </c>
      <c r="E97" s="5" t="s">
        <v>47</v>
      </c>
      <c r="F97" s="5" t="s">
        <v>23</v>
      </c>
      <c r="G97" s="7">
        <v>367000</v>
      </c>
      <c r="H97" s="7">
        <v>30000</v>
      </c>
      <c r="I97" s="23">
        <f t="shared" si="1"/>
        <v>360000</v>
      </c>
    </row>
    <row r="98" spans="1:9" ht="15" customHeight="1" x14ac:dyDescent="0.45">
      <c r="A98" s="2" t="s">
        <v>1069</v>
      </c>
      <c r="B98" s="2" t="s">
        <v>57</v>
      </c>
      <c r="C98" s="2" t="s">
        <v>14</v>
      </c>
      <c r="D98" s="2">
        <v>5</v>
      </c>
      <c r="E98" s="2" t="s">
        <v>22</v>
      </c>
      <c r="F98" s="2" t="s">
        <v>23</v>
      </c>
      <c r="G98" s="4">
        <v>5141000</v>
      </c>
      <c r="H98" s="4">
        <v>420000</v>
      </c>
      <c r="I98" s="23">
        <f t="shared" si="1"/>
        <v>5040000</v>
      </c>
    </row>
    <row r="99" spans="1:9" ht="15" customHeight="1" x14ac:dyDescent="0.45">
      <c r="A99" s="5" t="s">
        <v>1070</v>
      </c>
      <c r="B99" s="5" t="s">
        <v>57</v>
      </c>
      <c r="C99" s="5" t="s">
        <v>75</v>
      </c>
      <c r="D99" s="5">
        <v>5</v>
      </c>
      <c r="E99" s="5" t="s">
        <v>22</v>
      </c>
      <c r="F99" s="5" t="s">
        <v>23</v>
      </c>
      <c r="G99" s="7">
        <v>428000</v>
      </c>
      <c r="H99" s="7">
        <v>35000</v>
      </c>
      <c r="I99" s="23">
        <f t="shared" si="1"/>
        <v>420000</v>
      </c>
    </row>
    <row r="100" spans="1:9" ht="15" customHeight="1" x14ac:dyDescent="0.45">
      <c r="A100" s="2" t="s">
        <v>1071</v>
      </c>
      <c r="B100" s="2" t="s">
        <v>57</v>
      </c>
      <c r="C100" s="2" t="s">
        <v>85</v>
      </c>
      <c r="D100" s="2">
        <v>5</v>
      </c>
      <c r="E100" s="2" t="s">
        <v>22</v>
      </c>
      <c r="F100" s="2" t="s">
        <v>23</v>
      </c>
      <c r="G100" s="4">
        <v>673000</v>
      </c>
      <c r="H100" s="4">
        <v>55000</v>
      </c>
      <c r="I100" s="23">
        <f t="shared" si="1"/>
        <v>660000</v>
      </c>
    </row>
    <row r="101" spans="1:9" ht="15" customHeight="1" x14ac:dyDescent="0.45">
      <c r="A101" s="5" t="s">
        <v>1072</v>
      </c>
      <c r="B101" s="5" t="s">
        <v>57</v>
      </c>
      <c r="C101" s="5" t="s">
        <v>63</v>
      </c>
      <c r="D101" s="5">
        <v>5</v>
      </c>
      <c r="E101" s="5" t="s">
        <v>22</v>
      </c>
      <c r="F101" s="5" t="s">
        <v>23</v>
      </c>
      <c r="G101" s="7">
        <v>220000</v>
      </c>
      <c r="H101" s="7">
        <v>18000</v>
      </c>
      <c r="I101" s="23">
        <f t="shared" si="1"/>
        <v>216000</v>
      </c>
    </row>
    <row r="102" spans="1:9" ht="15" customHeight="1" x14ac:dyDescent="0.45">
      <c r="A102" s="2" t="s">
        <v>1073</v>
      </c>
      <c r="B102" s="2" t="s">
        <v>13</v>
      </c>
      <c r="C102" s="2" t="s">
        <v>14</v>
      </c>
      <c r="D102" s="2">
        <v>5</v>
      </c>
      <c r="E102" s="2" t="s">
        <v>22</v>
      </c>
      <c r="F102" s="2" t="s">
        <v>23</v>
      </c>
      <c r="G102" s="4">
        <v>4651000</v>
      </c>
      <c r="H102" s="4">
        <v>380000</v>
      </c>
      <c r="I102" s="23">
        <f t="shared" si="1"/>
        <v>4560000</v>
      </c>
    </row>
    <row r="103" spans="1:9" ht="15" customHeight="1" x14ac:dyDescent="0.45">
      <c r="A103" s="5" t="s">
        <v>1074</v>
      </c>
      <c r="B103" s="5" t="s">
        <v>13</v>
      </c>
      <c r="C103" s="5" t="s">
        <v>102</v>
      </c>
      <c r="D103" s="5">
        <v>5</v>
      </c>
      <c r="E103" s="5" t="s">
        <v>22</v>
      </c>
      <c r="F103" s="5" t="s">
        <v>23</v>
      </c>
      <c r="G103" s="7">
        <v>1836000</v>
      </c>
      <c r="H103" s="7">
        <v>150000</v>
      </c>
      <c r="I103" s="23">
        <f t="shared" si="1"/>
        <v>1800000</v>
      </c>
    </row>
    <row r="104" spans="1:9" ht="15" customHeight="1" x14ac:dyDescent="0.45">
      <c r="A104" s="2" t="s">
        <v>1075</v>
      </c>
      <c r="B104" s="2" t="s">
        <v>13</v>
      </c>
      <c r="C104" s="2" t="s">
        <v>50</v>
      </c>
      <c r="D104" s="2">
        <v>5</v>
      </c>
      <c r="E104" s="2" t="s">
        <v>22</v>
      </c>
      <c r="F104" s="2" t="s">
        <v>23</v>
      </c>
      <c r="G104" s="4">
        <v>857000</v>
      </c>
      <c r="H104" s="4">
        <v>70000</v>
      </c>
      <c r="I104" s="23">
        <f t="shared" si="1"/>
        <v>840000</v>
      </c>
    </row>
    <row r="105" spans="1:9" ht="15" customHeight="1" x14ac:dyDescent="0.45">
      <c r="A105" s="5" t="s">
        <v>1076</v>
      </c>
      <c r="B105" s="5" t="s">
        <v>13</v>
      </c>
      <c r="C105" s="5" t="s">
        <v>63</v>
      </c>
      <c r="D105" s="5">
        <v>5</v>
      </c>
      <c r="E105" s="5" t="s">
        <v>22</v>
      </c>
      <c r="F105" s="5" t="s">
        <v>23</v>
      </c>
      <c r="G105" s="7">
        <v>306000</v>
      </c>
      <c r="H105" s="7">
        <v>25000</v>
      </c>
      <c r="I105" s="23">
        <f t="shared" si="1"/>
        <v>300000</v>
      </c>
    </row>
    <row r="106" spans="1:9" ht="15" customHeight="1" x14ac:dyDescent="0.45">
      <c r="A106" s="2" t="s">
        <v>1077</v>
      </c>
      <c r="B106" s="2" t="s">
        <v>24</v>
      </c>
      <c r="C106" s="2" t="s">
        <v>14</v>
      </c>
      <c r="D106" s="2">
        <v>5</v>
      </c>
      <c r="E106" s="2" t="s">
        <v>22</v>
      </c>
      <c r="F106" s="2" t="s">
        <v>23</v>
      </c>
      <c r="G106" s="4">
        <v>6120000</v>
      </c>
      <c r="H106" s="4">
        <v>500000</v>
      </c>
      <c r="I106" s="23">
        <f t="shared" si="1"/>
        <v>6000000</v>
      </c>
    </row>
    <row r="107" spans="1:9" ht="15" customHeight="1" x14ac:dyDescent="0.45">
      <c r="A107" s="5" t="s">
        <v>1078</v>
      </c>
      <c r="B107" s="5" t="s">
        <v>24</v>
      </c>
      <c r="C107" s="5" t="s">
        <v>36</v>
      </c>
      <c r="D107" s="5">
        <v>5</v>
      </c>
      <c r="E107" s="5" t="s">
        <v>22</v>
      </c>
      <c r="F107" s="5" t="s">
        <v>23</v>
      </c>
      <c r="G107" s="7">
        <v>1102000</v>
      </c>
      <c r="H107" s="7">
        <v>90000</v>
      </c>
      <c r="I107" s="23">
        <f t="shared" si="1"/>
        <v>1080000</v>
      </c>
    </row>
    <row r="108" spans="1:9" ht="15" customHeight="1" x14ac:dyDescent="0.45">
      <c r="A108" s="2" t="s">
        <v>1079</v>
      </c>
      <c r="B108" s="2" t="s">
        <v>24</v>
      </c>
      <c r="C108" s="2" t="s">
        <v>25</v>
      </c>
      <c r="D108" s="2">
        <v>5</v>
      </c>
      <c r="E108" s="2" t="s">
        <v>22</v>
      </c>
      <c r="F108" s="2" t="s">
        <v>23</v>
      </c>
      <c r="G108" s="4">
        <v>979000</v>
      </c>
      <c r="H108" s="4">
        <v>80000</v>
      </c>
      <c r="I108" s="23">
        <f t="shared" si="1"/>
        <v>960000</v>
      </c>
    </row>
    <row r="109" spans="1:9" ht="15" customHeight="1" x14ac:dyDescent="0.45">
      <c r="A109" s="5" t="s">
        <v>1080</v>
      </c>
      <c r="B109" s="5" t="s">
        <v>24</v>
      </c>
      <c r="C109" s="5" t="s">
        <v>44</v>
      </c>
      <c r="D109" s="5">
        <v>5</v>
      </c>
      <c r="E109" s="5" t="s">
        <v>22</v>
      </c>
      <c r="F109" s="5" t="s">
        <v>23</v>
      </c>
      <c r="G109" s="7">
        <v>1346000</v>
      </c>
      <c r="H109" s="7">
        <v>110000</v>
      </c>
      <c r="I109" s="23">
        <f t="shared" si="1"/>
        <v>1320000</v>
      </c>
    </row>
    <row r="110" spans="1:9" ht="15" customHeight="1" x14ac:dyDescent="0.45">
      <c r="A110" s="2" t="s">
        <v>1081</v>
      </c>
      <c r="B110" s="2" t="s">
        <v>19</v>
      </c>
      <c r="C110" s="2" t="s">
        <v>14</v>
      </c>
      <c r="D110" s="2">
        <v>5</v>
      </c>
      <c r="E110" s="2" t="s">
        <v>22</v>
      </c>
      <c r="F110" s="2" t="s">
        <v>23</v>
      </c>
      <c r="G110" s="4">
        <v>4284000</v>
      </c>
      <c r="H110" s="4">
        <v>350000</v>
      </c>
      <c r="I110" s="23">
        <f t="shared" si="1"/>
        <v>4200000</v>
      </c>
    </row>
    <row r="111" spans="1:9" ht="15" customHeight="1" x14ac:dyDescent="0.45">
      <c r="A111" s="5" t="s">
        <v>1082</v>
      </c>
      <c r="B111" s="5" t="s">
        <v>19</v>
      </c>
      <c r="C111" s="5" t="s">
        <v>53</v>
      </c>
      <c r="D111" s="5">
        <v>5</v>
      </c>
      <c r="E111" s="5" t="s">
        <v>22</v>
      </c>
      <c r="F111" s="5" t="s">
        <v>23</v>
      </c>
      <c r="G111" s="7">
        <v>734000</v>
      </c>
      <c r="H111" s="7">
        <v>60000</v>
      </c>
      <c r="I111" s="23">
        <f t="shared" si="1"/>
        <v>720000</v>
      </c>
    </row>
    <row r="112" spans="1:9" ht="15" customHeight="1" x14ac:dyDescent="0.45">
      <c r="A112" s="2" t="s">
        <v>1083</v>
      </c>
      <c r="B112" s="2" t="s">
        <v>19</v>
      </c>
      <c r="C112" s="2" t="s">
        <v>31</v>
      </c>
      <c r="D112" s="2">
        <v>5</v>
      </c>
      <c r="E112" s="2" t="s">
        <v>22</v>
      </c>
      <c r="F112" s="2" t="s">
        <v>23</v>
      </c>
      <c r="G112" s="4">
        <v>551000</v>
      </c>
      <c r="H112" s="4">
        <v>45000</v>
      </c>
      <c r="I112" s="23">
        <f t="shared" si="1"/>
        <v>540000</v>
      </c>
    </row>
    <row r="113" spans="1:9" ht="15" customHeight="1" x14ac:dyDescent="0.45">
      <c r="A113" s="5" t="s">
        <v>1084</v>
      </c>
      <c r="B113" s="5" t="s">
        <v>19</v>
      </c>
      <c r="C113" s="5" t="s">
        <v>63</v>
      </c>
      <c r="D113" s="5">
        <v>5</v>
      </c>
      <c r="E113" s="5" t="s">
        <v>22</v>
      </c>
      <c r="F113" s="5" t="s">
        <v>23</v>
      </c>
      <c r="G113" s="7">
        <v>245000</v>
      </c>
      <c r="H113" s="7">
        <v>20000</v>
      </c>
      <c r="I113" s="23">
        <f t="shared" si="1"/>
        <v>240000</v>
      </c>
    </row>
    <row r="114" spans="1:9" ht="15" customHeight="1" x14ac:dyDescent="0.45">
      <c r="A114" s="2" t="s">
        <v>1085</v>
      </c>
      <c r="B114" s="2" t="s">
        <v>35</v>
      </c>
      <c r="C114" s="2" t="s">
        <v>14</v>
      </c>
      <c r="D114" s="2">
        <v>5</v>
      </c>
      <c r="E114" s="2" t="s">
        <v>22</v>
      </c>
      <c r="F114" s="2" t="s">
        <v>23</v>
      </c>
      <c r="G114" s="4">
        <v>3550000</v>
      </c>
      <c r="H114" s="4">
        <v>290000</v>
      </c>
      <c r="I114" s="23">
        <f t="shared" si="1"/>
        <v>3480000</v>
      </c>
    </row>
    <row r="115" spans="1:9" ht="15" customHeight="1" x14ac:dyDescent="0.45">
      <c r="A115" s="5" t="s">
        <v>1086</v>
      </c>
      <c r="B115" s="5" t="s">
        <v>35</v>
      </c>
      <c r="C115" s="5" t="s">
        <v>105</v>
      </c>
      <c r="D115" s="5">
        <v>5</v>
      </c>
      <c r="E115" s="5" t="s">
        <v>22</v>
      </c>
      <c r="F115" s="5" t="s">
        <v>23</v>
      </c>
      <c r="G115" s="7">
        <v>490000</v>
      </c>
      <c r="H115" s="7">
        <v>40000</v>
      </c>
      <c r="I115" s="23">
        <f t="shared" si="1"/>
        <v>480000</v>
      </c>
    </row>
    <row r="116" spans="1:9" ht="15" customHeight="1" x14ac:dyDescent="0.45">
      <c r="A116" s="2" t="s">
        <v>1087</v>
      </c>
      <c r="B116" s="2" t="s">
        <v>35</v>
      </c>
      <c r="C116" s="2" t="s">
        <v>36</v>
      </c>
      <c r="D116" s="2">
        <v>5</v>
      </c>
      <c r="E116" s="2" t="s">
        <v>22</v>
      </c>
      <c r="F116" s="2" t="s">
        <v>23</v>
      </c>
      <c r="G116" s="4">
        <v>367000</v>
      </c>
      <c r="H116" s="4">
        <v>30000</v>
      </c>
      <c r="I116" s="23">
        <f t="shared" si="1"/>
        <v>360000</v>
      </c>
    </row>
    <row r="117" spans="1:9" ht="15" customHeight="1" x14ac:dyDescent="0.45">
      <c r="A117" s="5" t="s">
        <v>1088</v>
      </c>
      <c r="B117" s="5" t="s">
        <v>35</v>
      </c>
      <c r="C117" s="5" t="s">
        <v>75</v>
      </c>
      <c r="D117" s="5">
        <v>5</v>
      </c>
      <c r="E117" s="5" t="s">
        <v>22</v>
      </c>
      <c r="F117" s="5" t="s">
        <v>23</v>
      </c>
      <c r="G117" s="7">
        <v>184000</v>
      </c>
      <c r="H117" s="7">
        <v>15000</v>
      </c>
      <c r="I117" s="23">
        <f t="shared" si="1"/>
        <v>180000</v>
      </c>
    </row>
    <row r="118" spans="1:9" ht="15" customHeight="1" x14ac:dyDescent="0.45">
      <c r="A118" s="2" t="s">
        <v>1089</v>
      </c>
      <c r="B118" s="2" t="s">
        <v>71</v>
      </c>
      <c r="C118" s="2" t="s">
        <v>14</v>
      </c>
      <c r="D118" s="2">
        <v>5</v>
      </c>
      <c r="E118" s="2" t="s">
        <v>22</v>
      </c>
      <c r="F118" s="2" t="s">
        <v>23</v>
      </c>
      <c r="G118" s="4">
        <v>5018000</v>
      </c>
      <c r="H118" s="4">
        <v>410000</v>
      </c>
      <c r="I118" s="23">
        <f t="shared" si="1"/>
        <v>4920000</v>
      </c>
    </row>
    <row r="119" spans="1:9" ht="15" customHeight="1" x14ac:dyDescent="0.45">
      <c r="A119" s="5" t="s">
        <v>1090</v>
      </c>
      <c r="B119" s="5" t="s">
        <v>71</v>
      </c>
      <c r="C119" s="5" t="s">
        <v>88</v>
      </c>
      <c r="D119" s="5">
        <v>5</v>
      </c>
      <c r="E119" s="5" t="s">
        <v>22</v>
      </c>
      <c r="F119" s="5" t="s">
        <v>23</v>
      </c>
      <c r="G119" s="7">
        <v>2448000</v>
      </c>
      <c r="H119" s="7">
        <v>200000</v>
      </c>
      <c r="I119" s="23">
        <f t="shared" si="1"/>
        <v>2400000</v>
      </c>
    </row>
    <row r="120" spans="1:9" ht="15" customHeight="1" x14ac:dyDescent="0.45">
      <c r="A120" s="2" t="s">
        <v>1091</v>
      </c>
      <c r="B120" s="2" t="s">
        <v>71</v>
      </c>
      <c r="C120" s="2" t="s">
        <v>63</v>
      </c>
      <c r="D120" s="2">
        <v>5</v>
      </c>
      <c r="E120" s="2" t="s">
        <v>22</v>
      </c>
      <c r="F120" s="2" t="s">
        <v>23</v>
      </c>
      <c r="G120" s="4">
        <v>673000</v>
      </c>
      <c r="H120" s="4">
        <v>55000</v>
      </c>
      <c r="I120" s="23">
        <f t="shared" si="1"/>
        <v>660000</v>
      </c>
    </row>
    <row r="121" spans="1:9" ht="15" customHeight="1" x14ac:dyDescent="0.45">
      <c r="A121" s="5" t="s">
        <v>1092</v>
      </c>
      <c r="B121" s="5" t="s">
        <v>71</v>
      </c>
      <c r="C121" s="5" t="s">
        <v>94</v>
      </c>
      <c r="D121" s="5">
        <v>5</v>
      </c>
      <c r="E121" s="5" t="s">
        <v>22</v>
      </c>
      <c r="F121" s="5" t="s">
        <v>23</v>
      </c>
      <c r="G121" s="7">
        <v>367000</v>
      </c>
      <c r="H121" s="7">
        <v>30000</v>
      </c>
      <c r="I121" s="23">
        <f t="shared" si="1"/>
        <v>360000</v>
      </c>
    </row>
    <row r="122" spans="1:9" ht="15" customHeight="1" x14ac:dyDescent="0.45">
      <c r="A122" s="2" t="s">
        <v>1093</v>
      </c>
      <c r="B122" s="2" t="s">
        <v>57</v>
      </c>
      <c r="C122" s="2" t="s">
        <v>14</v>
      </c>
      <c r="D122" s="2">
        <v>6</v>
      </c>
      <c r="E122" s="2" t="s">
        <v>78</v>
      </c>
      <c r="F122" s="2" t="s">
        <v>23</v>
      </c>
      <c r="G122" s="4">
        <v>5141000</v>
      </c>
      <c r="H122" s="4">
        <v>462000</v>
      </c>
      <c r="I122" s="23">
        <f t="shared" si="1"/>
        <v>5544000</v>
      </c>
    </row>
    <row r="123" spans="1:9" ht="15" customHeight="1" x14ac:dyDescent="0.45">
      <c r="A123" s="5" t="s">
        <v>1094</v>
      </c>
      <c r="B123" s="5" t="s">
        <v>57</v>
      </c>
      <c r="C123" s="5" t="s">
        <v>75</v>
      </c>
      <c r="D123" s="5">
        <v>6</v>
      </c>
      <c r="E123" s="5" t="s">
        <v>78</v>
      </c>
      <c r="F123" s="5" t="s">
        <v>23</v>
      </c>
      <c r="G123" s="7">
        <v>428000</v>
      </c>
      <c r="H123" s="7">
        <v>38000</v>
      </c>
      <c r="I123" s="23">
        <f t="shared" si="1"/>
        <v>456000</v>
      </c>
    </row>
    <row r="124" spans="1:9" ht="15" customHeight="1" x14ac:dyDescent="0.45">
      <c r="A124" s="2" t="s">
        <v>1095</v>
      </c>
      <c r="B124" s="2" t="s">
        <v>57</v>
      </c>
      <c r="C124" s="2" t="s">
        <v>85</v>
      </c>
      <c r="D124" s="2">
        <v>6</v>
      </c>
      <c r="E124" s="2" t="s">
        <v>78</v>
      </c>
      <c r="F124" s="2" t="s">
        <v>23</v>
      </c>
      <c r="G124" s="4">
        <v>673000</v>
      </c>
      <c r="H124" s="4">
        <v>61000</v>
      </c>
      <c r="I124" s="23">
        <f t="shared" si="1"/>
        <v>732000</v>
      </c>
    </row>
    <row r="125" spans="1:9" ht="15" customHeight="1" x14ac:dyDescent="0.45">
      <c r="A125" s="5" t="s">
        <v>1096</v>
      </c>
      <c r="B125" s="5" t="s">
        <v>57</v>
      </c>
      <c r="C125" s="5" t="s">
        <v>63</v>
      </c>
      <c r="D125" s="5">
        <v>6</v>
      </c>
      <c r="E125" s="5" t="s">
        <v>78</v>
      </c>
      <c r="F125" s="5" t="s">
        <v>23</v>
      </c>
      <c r="G125" s="7">
        <v>220000</v>
      </c>
      <c r="H125" s="7">
        <v>20000</v>
      </c>
      <c r="I125" s="23">
        <f t="shared" si="1"/>
        <v>240000</v>
      </c>
    </row>
    <row r="126" spans="1:9" ht="15" customHeight="1" x14ac:dyDescent="0.45">
      <c r="A126" s="2" t="s">
        <v>1097</v>
      </c>
      <c r="B126" s="2" t="s">
        <v>13</v>
      </c>
      <c r="C126" s="2" t="s">
        <v>14</v>
      </c>
      <c r="D126" s="2">
        <v>6</v>
      </c>
      <c r="E126" s="2" t="s">
        <v>78</v>
      </c>
      <c r="F126" s="2" t="s">
        <v>23</v>
      </c>
      <c r="G126" s="4">
        <v>4651000</v>
      </c>
      <c r="H126" s="4">
        <v>418000</v>
      </c>
      <c r="I126" s="23">
        <f t="shared" si="1"/>
        <v>5016000</v>
      </c>
    </row>
    <row r="127" spans="1:9" ht="15" customHeight="1" x14ac:dyDescent="0.45">
      <c r="A127" s="5" t="s">
        <v>1098</v>
      </c>
      <c r="B127" s="5" t="s">
        <v>13</v>
      </c>
      <c r="C127" s="5" t="s">
        <v>102</v>
      </c>
      <c r="D127" s="5">
        <v>6</v>
      </c>
      <c r="E127" s="5" t="s">
        <v>78</v>
      </c>
      <c r="F127" s="5" t="s">
        <v>23</v>
      </c>
      <c r="G127" s="7">
        <v>1836000</v>
      </c>
      <c r="H127" s="7">
        <v>165000</v>
      </c>
      <c r="I127" s="23">
        <f t="shared" si="1"/>
        <v>1980000</v>
      </c>
    </row>
    <row r="128" spans="1:9" ht="15" customHeight="1" x14ac:dyDescent="0.45">
      <c r="A128" s="2" t="s">
        <v>1099</v>
      </c>
      <c r="B128" s="2" t="s">
        <v>13</v>
      </c>
      <c r="C128" s="2" t="s">
        <v>50</v>
      </c>
      <c r="D128" s="2">
        <v>6</v>
      </c>
      <c r="E128" s="2" t="s">
        <v>78</v>
      </c>
      <c r="F128" s="2" t="s">
        <v>23</v>
      </c>
      <c r="G128" s="4">
        <v>857000</v>
      </c>
      <c r="H128" s="4">
        <v>77000</v>
      </c>
      <c r="I128" s="23">
        <f t="shared" si="1"/>
        <v>924000</v>
      </c>
    </row>
    <row r="129" spans="1:9" ht="15" customHeight="1" x14ac:dyDescent="0.45">
      <c r="A129" s="5" t="s">
        <v>1100</v>
      </c>
      <c r="B129" s="5" t="s">
        <v>13</v>
      </c>
      <c r="C129" s="5" t="s">
        <v>63</v>
      </c>
      <c r="D129" s="5">
        <v>6</v>
      </c>
      <c r="E129" s="5" t="s">
        <v>78</v>
      </c>
      <c r="F129" s="5" t="s">
        <v>23</v>
      </c>
      <c r="G129" s="7">
        <v>306000</v>
      </c>
      <c r="H129" s="7">
        <v>28000</v>
      </c>
      <c r="I129" s="23">
        <f t="shared" si="1"/>
        <v>336000</v>
      </c>
    </row>
    <row r="130" spans="1:9" ht="15" customHeight="1" x14ac:dyDescent="0.45">
      <c r="A130" s="2" t="s">
        <v>1101</v>
      </c>
      <c r="B130" s="2" t="s">
        <v>24</v>
      </c>
      <c r="C130" s="2" t="s">
        <v>14</v>
      </c>
      <c r="D130" s="2">
        <v>6</v>
      </c>
      <c r="E130" s="2" t="s">
        <v>78</v>
      </c>
      <c r="F130" s="2" t="s">
        <v>23</v>
      </c>
      <c r="G130" s="4">
        <v>6120000</v>
      </c>
      <c r="H130" s="4">
        <v>550000</v>
      </c>
      <c r="I130" s="23">
        <f t="shared" si="1"/>
        <v>6600000</v>
      </c>
    </row>
    <row r="131" spans="1:9" ht="15" customHeight="1" x14ac:dyDescent="0.45">
      <c r="A131" s="5" t="s">
        <v>1102</v>
      </c>
      <c r="B131" s="5" t="s">
        <v>24</v>
      </c>
      <c r="C131" s="5" t="s">
        <v>36</v>
      </c>
      <c r="D131" s="5">
        <v>6</v>
      </c>
      <c r="E131" s="5" t="s">
        <v>78</v>
      </c>
      <c r="F131" s="5" t="s">
        <v>23</v>
      </c>
      <c r="G131" s="7">
        <v>1102000</v>
      </c>
      <c r="H131" s="7">
        <v>99000</v>
      </c>
      <c r="I131" s="23">
        <f t="shared" ref="I131:I194" si="2">H131*12</f>
        <v>1188000</v>
      </c>
    </row>
    <row r="132" spans="1:9" ht="15" customHeight="1" x14ac:dyDescent="0.45">
      <c r="A132" s="2" t="s">
        <v>1103</v>
      </c>
      <c r="B132" s="2" t="s">
        <v>24</v>
      </c>
      <c r="C132" s="2" t="s">
        <v>25</v>
      </c>
      <c r="D132" s="2">
        <v>6</v>
      </c>
      <c r="E132" s="2" t="s">
        <v>78</v>
      </c>
      <c r="F132" s="2" t="s">
        <v>23</v>
      </c>
      <c r="G132" s="4">
        <v>979000</v>
      </c>
      <c r="H132" s="4">
        <v>88000</v>
      </c>
      <c r="I132" s="23">
        <f t="shared" si="2"/>
        <v>1056000</v>
      </c>
    </row>
    <row r="133" spans="1:9" ht="15" customHeight="1" x14ac:dyDescent="0.45">
      <c r="A133" s="5" t="s">
        <v>1104</v>
      </c>
      <c r="B133" s="5" t="s">
        <v>24</v>
      </c>
      <c r="C133" s="5" t="s">
        <v>44</v>
      </c>
      <c r="D133" s="5">
        <v>6</v>
      </c>
      <c r="E133" s="5" t="s">
        <v>78</v>
      </c>
      <c r="F133" s="5" t="s">
        <v>23</v>
      </c>
      <c r="G133" s="7">
        <v>1346000</v>
      </c>
      <c r="H133" s="7">
        <v>121000</v>
      </c>
      <c r="I133" s="23">
        <f t="shared" si="2"/>
        <v>1452000</v>
      </c>
    </row>
    <row r="134" spans="1:9" ht="15" customHeight="1" x14ac:dyDescent="0.45">
      <c r="A134" s="2" t="s">
        <v>1105</v>
      </c>
      <c r="B134" s="2" t="s">
        <v>19</v>
      </c>
      <c r="C134" s="2" t="s">
        <v>14</v>
      </c>
      <c r="D134" s="2">
        <v>6</v>
      </c>
      <c r="E134" s="2" t="s">
        <v>78</v>
      </c>
      <c r="F134" s="2" t="s">
        <v>23</v>
      </c>
      <c r="G134" s="4">
        <v>4284000</v>
      </c>
      <c r="H134" s="4">
        <v>385000</v>
      </c>
      <c r="I134" s="23">
        <f t="shared" si="2"/>
        <v>4620000</v>
      </c>
    </row>
    <row r="135" spans="1:9" ht="15" customHeight="1" x14ac:dyDescent="0.45">
      <c r="A135" s="5" t="s">
        <v>1106</v>
      </c>
      <c r="B135" s="5" t="s">
        <v>19</v>
      </c>
      <c r="C135" s="5" t="s">
        <v>53</v>
      </c>
      <c r="D135" s="5">
        <v>6</v>
      </c>
      <c r="E135" s="5" t="s">
        <v>78</v>
      </c>
      <c r="F135" s="5" t="s">
        <v>23</v>
      </c>
      <c r="G135" s="7">
        <v>734000</v>
      </c>
      <c r="H135" s="7">
        <v>66000</v>
      </c>
      <c r="I135" s="23">
        <f t="shared" si="2"/>
        <v>792000</v>
      </c>
    </row>
    <row r="136" spans="1:9" ht="15" customHeight="1" x14ac:dyDescent="0.45">
      <c r="A136" s="2" t="s">
        <v>1107</v>
      </c>
      <c r="B136" s="2" t="s">
        <v>19</v>
      </c>
      <c r="C136" s="2" t="s">
        <v>31</v>
      </c>
      <c r="D136" s="2">
        <v>6</v>
      </c>
      <c r="E136" s="2" t="s">
        <v>78</v>
      </c>
      <c r="F136" s="2" t="s">
        <v>23</v>
      </c>
      <c r="G136" s="4">
        <v>551000</v>
      </c>
      <c r="H136" s="4">
        <v>50000</v>
      </c>
      <c r="I136" s="23">
        <f t="shared" si="2"/>
        <v>600000</v>
      </c>
    </row>
    <row r="137" spans="1:9" ht="15" customHeight="1" x14ac:dyDescent="0.45">
      <c r="A137" s="5" t="s">
        <v>1108</v>
      </c>
      <c r="B137" s="5" t="s">
        <v>19</v>
      </c>
      <c r="C137" s="5" t="s">
        <v>63</v>
      </c>
      <c r="D137" s="5">
        <v>6</v>
      </c>
      <c r="E137" s="5" t="s">
        <v>78</v>
      </c>
      <c r="F137" s="5" t="s">
        <v>23</v>
      </c>
      <c r="G137" s="7">
        <v>245000</v>
      </c>
      <c r="H137" s="7">
        <v>22000</v>
      </c>
      <c r="I137" s="23">
        <f t="shared" si="2"/>
        <v>264000</v>
      </c>
    </row>
    <row r="138" spans="1:9" ht="15" customHeight="1" x14ac:dyDescent="0.45">
      <c r="A138" s="2" t="s">
        <v>1109</v>
      </c>
      <c r="B138" s="2" t="s">
        <v>35</v>
      </c>
      <c r="C138" s="2" t="s">
        <v>14</v>
      </c>
      <c r="D138" s="2">
        <v>6</v>
      </c>
      <c r="E138" s="2" t="s">
        <v>78</v>
      </c>
      <c r="F138" s="2" t="s">
        <v>23</v>
      </c>
      <c r="G138" s="4">
        <v>3550000</v>
      </c>
      <c r="H138" s="4">
        <v>319000</v>
      </c>
      <c r="I138" s="23">
        <f t="shared" si="2"/>
        <v>3828000</v>
      </c>
    </row>
    <row r="139" spans="1:9" ht="15" customHeight="1" x14ac:dyDescent="0.45">
      <c r="A139" s="5" t="s">
        <v>1110</v>
      </c>
      <c r="B139" s="5" t="s">
        <v>35</v>
      </c>
      <c r="C139" s="5" t="s">
        <v>105</v>
      </c>
      <c r="D139" s="5">
        <v>6</v>
      </c>
      <c r="E139" s="5" t="s">
        <v>78</v>
      </c>
      <c r="F139" s="5" t="s">
        <v>23</v>
      </c>
      <c r="G139" s="7">
        <v>490000</v>
      </c>
      <c r="H139" s="7">
        <v>44000</v>
      </c>
      <c r="I139" s="23">
        <f t="shared" si="2"/>
        <v>528000</v>
      </c>
    </row>
    <row r="140" spans="1:9" ht="15" customHeight="1" x14ac:dyDescent="0.45">
      <c r="A140" s="2" t="s">
        <v>1111</v>
      </c>
      <c r="B140" s="2" t="s">
        <v>35</v>
      </c>
      <c r="C140" s="2" t="s">
        <v>36</v>
      </c>
      <c r="D140" s="2">
        <v>6</v>
      </c>
      <c r="E140" s="2" t="s">
        <v>78</v>
      </c>
      <c r="F140" s="2" t="s">
        <v>23</v>
      </c>
      <c r="G140" s="4">
        <v>367000</v>
      </c>
      <c r="H140" s="4">
        <v>33000</v>
      </c>
      <c r="I140" s="23">
        <f t="shared" si="2"/>
        <v>396000</v>
      </c>
    </row>
    <row r="141" spans="1:9" ht="15" customHeight="1" x14ac:dyDescent="0.45">
      <c r="A141" s="5" t="s">
        <v>1112</v>
      </c>
      <c r="B141" s="5" t="s">
        <v>35</v>
      </c>
      <c r="C141" s="5" t="s">
        <v>75</v>
      </c>
      <c r="D141" s="5">
        <v>6</v>
      </c>
      <c r="E141" s="5" t="s">
        <v>78</v>
      </c>
      <c r="F141" s="5" t="s">
        <v>23</v>
      </c>
      <c r="G141" s="7">
        <v>184000</v>
      </c>
      <c r="H141" s="7">
        <v>16000</v>
      </c>
      <c r="I141" s="23">
        <f t="shared" si="2"/>
        <v>192000</v>
      </c>
    </row>
    <row r="142" spans="1:9" ht="15" customHeight="1" x14ac:dyDescent="0.45">
      <c r="A142" s="2" t="s">
        <v>1113</v>
      </c>
      <c r="B142" s="2" t="s">
        <v>71</v>
      </c>
      <c r="C142" s="2" t="s">
        <v>14</v>
      </c>
      <c r="D142" s="2">
        <v>6</v>
      </c>
      <c r="E142" s="2" t="s">
        <v>78</v>
      </c>
      <c r="F142" s="2" t="s">
        <v>23</v>
      </c>
      <c r="G142" s="4">
        <v>5018000</v>
      </c>
      <c r="H142" s="4">
        <v>451000</v>
      </c>
      <c r="I142" s="23">
        <f t="shared" si="2"/>
        <v>5412000</v>
      </c>
    </row>
    <row r="143" spans="1:9" ht="15" customHeight="1" x14ac:dyDescent="0.45">
      <c r="A143" s="5" t="s">
        <v>1114</v>
      </c>
      <c r="B143" s="5" t="s">
        <v>71</v>
      </c>
      <c r="C143" s="5" t="s">
        <v>88</v>
      </c>
      <c r="D143" s="5">
        <v>6</v>
      </c>
      <c r="E143" s="5" t="s">
        <v>78</v>
      </c>
      <c r="F143" s="5" t="s">
        <v>23</v>
      </c>
      <c r="G143" s="7">
        <v>2448000</v>
      </c>
      <c r="H143" s="7">
        <v>220000</v>
      </c>
      <c r="I143" s="23">
        <f t="shared" si="2"/>
        <v>2640000</v>
      </c>
    </row>
    <row r="144" spans="1:9" ht="15" customHeight="1" x14ac:dyDescent="0.45">
      <c r="A144" s="2" t="s">
        <v>1115</v>
      </c>
      <c r="B144" s="2" t="s">
        <v>71</v>
      </c>
      <c r="C144" s="2" t="s">
        <v>63</v>
      </c>
      <c r="D144" s="2">
        <v>6</v>
      </c>
      <c r="E144" s="2" t="s">
        <v>78</v>
      </c>
      <c r="F144" s="2" t="s">
        <v>23</v>
      </c>
      <c r="G144" s="4">
        <v>673000</v>
      </c>
      <c r="H144" s="4">
        <v>61000</v>
      </c>
      <c r="I144" s="23">
        <f t="shared" si="2"/>
        <v>732000</v>
      </c>
    </row>
    <row r="145" spans="1:9" ht="15" customHeight="1" x14ac:dyDescent="0.45">
      <c r="A145" s="5" t="s">
        <v>1116</v>
      </c>
      <c r="B145" s="5" t="s">
        <v>71</v>
      </c>
      <c r="C145" s="5" t="s">
        <v>94</v>
      </c>
      <c r="D145" s="5">
        <v>6</v>
      </c>
      <c r="E145" s="5" t="s">
        <v>78</v>
      </c>
      <c r="F145" s="5" t="s">
        <v>23</v>
      </c>
      <c r="G145" s="7">
        <v>367000</v>
      </c>
      <c r="H145" s="7">
        <v>33000</v>
      </c>
      <c r="I145" s="23">
        <f t="shared" si="2"/>
        <v>396000</v>
      </c>
    </row>
    <row r="146" spans="1:9" ht="15" customHeight="1" x14ac:dyDescent="0.45">
      <c r="A146" s="2" t="s">
        <v>1117</v>
      </c>
      <c r="B146" s="2" t="s">
        <v>57</v>
      </c>
      <c r="C146" s="2" t="s">
        <v>14</v>
      </c>
      <c r="D146" s="2">
        <v>7</v>
      </c>
      <c r="E146" s="2" t="s">
        <v>56</v>
      </c>
      <c r="F146" s="2" t="s">
        <v>41</v>
      </c>
      <c r="G146" s="4">
        <v>5141000</v>
      </c>
      <c r="H146" s="4">
        <v>420000</v>
      </c>
      <c r="I146" s="23">
        <f t="shared" si="2"/>
        <v>5040000</v>
      </c>
    </row>
    <row r="147" spans="1:9" ht="15" customHeight="1" x14ac:dyDescent="0.45">
      <c r="A147" s="5" t="s">
        <v>1118</v>
      </c>
      <c r="B147" s="5" t="s">
        <v>57</v>
      </c>
      <c r="C147" s="5" t="s">
        <v>75</v>
      </c>
      <c r="D147" s="5">
        <v>7</v>
      </c>
      <c r="E147" s="5" t="s">
        <v>56</v>
      </c>
      <c r="F147" s="5" t="s">
        <v>41</v>
      </c>
      <c r="G147" s="7">
        <v>428000</v>
      </c>
      <c r="H147" s="7">
        <v>35000</v>
      </c>
      <c r="I147" s="23">
        <f t="shared" si="2"/>
        <v>420000</v>
      </c>
    </row>
    <row r="148" spans="1:9" ht="15" customHeight="1" x14ac:dyDescent="0.45">
      <c r="A148" s="2" t="s">
        <v>1119</v>
      </c>
      <c r="B148" s="2" t="s">
        <v>57</v>
      </c>
      <c r="C148" s="2" t="s">
        <v>85</v>
      </c>
      <c r="D148" s="2">
        <v>7</v>
      </c>
      <c r="E148" s="2" t="s">
        <v>56</v>
      </c>
      <c r="F148" s="2" t="s">
        <v>41</v>
      </c>
      <c r="G148" s="4">
        <v>673000</v>
      </c>
      <c r="H148" s="4">
        <v>55000</v>
      </c>
      <c r="I148" s="23">
        <f t="shared" si="2"/>
        <v>660000</v>
      </c>
    </row>
    <row r="149" spans="1:9" ht="15" customHeight="1" x14ac:dyDescent="0.45">
      <c r="A149" s="5" t="s">
        <v>1120</v>
      </c>
      <c r="B149" s="5" t="s">
        <v>57</v>
      </c>
      <c r="C149" s="5" t="s">
        <v>63</v>
      </c>
      <c r="D149" s="5">
        <v>7</v>
      </c>
      <c r="E149" s="5" t="s">
        <v>56</v>
      </c>
      <c r="F149" s="5" t="s">
        <v>41</v>
      </c>
      <c r="G149" s="7">
        <v>220000</v>
      </c>
      <c r="H149" s="7">
        <v>18000</v>
      </c>
      <c r="I149" s="23">
        <f t="shared" si="2"/>
        <v>216000</v>
      </c>
    </row>
    <row r="150" spans="1:9" ht="15" customHeight="1" x14ac:dyDescent="0.45">
      <c r="A150" s="2" t="s">
        <v>1121</v>
      </c>
      <c r="B150" s="2" t="s">
        <v>13</v>
      </c>
      <c r="C150" s="2" t="s">
        <v>14</v>
      </c>
      <c r="D150" s="2">
        <v>7</v>
      </c>
      <c r="E150" s="2" t="s">
        <v>56</v>
      </c>
      <c r="F150" s="2" t="s">
        <v>41</v>
      </c>
      <c r="G150" s="4">
        <v>4651000</v>
      </c>
      <c r="H150" s="4">
        <v>380000</v>
      </c>
      <c r="I150" s="23">
        <f t="shared" si="2"/>
        <v>4560000</v>
      </c>
    </row>
    <row r="151" spans="1:9" ht="15" customHeight="1" x14ac:dyDescent="0.45">
      <c r="A151" s="5" t="s">
        <v>1122</v>
      </c>
      <c r="B151" s="5" t="s">
        <v>13</v>
      </c>
      <c r="C151" s="5" t="s">
        <v>102</v>
      </c>
      <c r="D151" s="5">
        <v>7</v>
      </c>
      <c r="E151" s="5" t="s">
        <v>56</v>
      </c>
      <c r="F151" s="5" t="s">
        <v>41</v>
      </c>
      <c r="G151" s="7">
        <v>1836000</v>
      </c>
      <c r="H151" s="7">
        <v>150000</v>
      </c>
      <c r="I151" s="23">
        <f t="shared" si="2"/>
        <v>1800000</v>
      </c>
    </row>
    <row r="152" spans="1:9" ht="15" customHeight="1" x14ac:dyDescent="0.45">
      <c r="A152" s="2" t="s">
        <v>1123</v>
      </c>
      <c r="B152" s="2" t="s">
        <v>13</v>
      </c>
      <c r="C152" s="2" t="s">
        <v>50</v>
      </c>
      <c r="D152" s="2">
        <v>7</v>
      </c>
      <c r="E152" s="2" t="s">
        <v>56</v>
      </c>
      <c r="F152" s="2" t="s">
        <v>41</v>
      </c>
      <c r="G152" s="4">
        <v>857000</v>
      </c>
      <c r="H152" s="4">
        <v>70000</v>
      </c>
      <c r="I152" s="23">
        <f t="shared" si="2"/>
        <v>840000</v>
      </c>
    </row>
    <row r="153" spans="1:9" ht="15" customHeight="1" x14ac:dyDescent="0.45">
      <c r="A153" s="5" t="s">
        <v>1124</v>
      </c>
      <c r="B153" s="5" t="s">
        <v>13</v>
      </c>
      <c r="C153" s="5" t="s">
        <v>63</v>
      </c>
      <c r="D153" s="5">
        <v>7</v>
      </c>
      <c r="E153" s="5" t="s">
        <v>56</v>
      </c>
      <c r="F153" s="5" t="s">
        <v>41</v>
      </c>
      <c r="G153" s="7">
        <v>306000</v>
      </c>
      <c r="H153" s="7">
        <v>25000</v>
      </c>
      <c r="I153" s="23">
        <f t="shared" si="2"/>
        <v>300000</v>
      </c>
    </row>
    <row r="154" spans="1:9" ht="15" customHeight="1" x14ac:dyDescent="0.45">
      <c r="A154" s="2" t="s">
        <v>1125</v>
      </c>
      <c r="B154" s="2" t="s">
        <v>24</v>
      </c>
      <c r="C154" s="2" t="s">
        <v>14</v>
      </c>
      <c r="D154" s="2">
        <v>7</v>
      </c>
      <c r="E154" s="2" t="s">
        <v>56</v>
      </c>
      <c r="F154" s="2" t="s">
        <v>41</v>
      </c>
      <c r="G154" s="4">
        <v>6120000</v>
      </c>
      <c r="H154" s="4">
        <v>500000</v>
      </c>
      <c r="I154" s="23">
        <f t="shared" si="2"/>
        <v>6000000</v>
      </c>
    </row>
    <row r="155" spans="1:9" ht="15" customHeight="1" x14ac:dyDescent="0.45">
      <c r="A155" s="5" t="s">
        <v>1126</v>
      </c>
      <c r="B155" s="5" t="s">
        <v>24</v>
      </c>
      <c r="C155" s="5" t="s">
        <v>36</v>
      </c>
      <c r="D155" s="5">
        <v>7</v>
      </c>
      <c r="E155" s="5" t="s">
        <v>56</v>
      </c>
      <c r="F155" s="5" t="s">
        <v>41</v>
      </c>
      <c r="G155" s="7">
        <v>1102000</v>
      </c>
      <c r="H155" s="7">
        <v>90000</v>
      </c>
      <c r="I155" s="23">
        <f t="shared" si="2"/>
        <v>1080000</v>
      </c>
    </row>
    <row r="156" spans="1:9" ht="15" customHeight="1" x14ac:dyDescent="0.45">
      <c r="A156" s="2" t="s">
        <v>1127</v>
      </c>
      <c r="B156" s="2" t="s">
        <v>24</v>
      </c>
      <c r="C156" s="2" t="s">
        <v>25</v>
      </c>
      <c r="D156" s="2">
        <v>7</v>
      </c>
      <c r="E156" s="2" t="s">
        <v>56</v>
      </c>
      <c r="F156" s="2" t="s">
        <v>41</v>
      </c>
      <c r="G156" s="4">
        <v>979000</v>
      </c>
      <c r="H156" s="4">
        <v>80000</v>
      </c>
      <c r="I156" s="23">
        <f t="shared" si="2"/>
        <v>960000</v>
      </c>
    </row>
    <row r="157" spans="1:9" ht="15" customHeight="1" x14ac:dyDescent="0.45">
      <c r="A157" s="5" t="s">
        <v>1128</v>
      </c>
      <c r="B157" s="5" t="s">
        <v>24</v>
      </c>
      <c r="C157" s="5" t="s">
        <v>44</v>
      </c>
      <c r="D157" s="5">
        <v>7</v>
      </c>
      <c r="E157" s="5" t="s">
        <v>56</v>
      </c>
      <c r="F157" s="5" t="s">
        <v>41</v>
      </c>
      <c r="G157" s="7">
        <v>1346000</v>
      </c>
      <c r="H157" s="7">
        <v>110000</v>
      </c>
      <c r="I157" s="23">
        <f t="shared" si="2"/>
        <v>1320000</v>
      </c>
    </row>
    <row r="158" spans="1:9" ht="15" customHeight="1" x14ac:dyDescent="0.45">
      <c r="A158" s="2" t="s">
        <v>1129</v>
      </c>
      <c r="B158" s="2" t="s">
        <v>19</v>
      </c>
      <c r="C158" s="2" t="s">
        <v>14</v>
      </c>
      <c r="D158" s="2">
        <v>7</v>
      </c>
      <c r="E158" s="2" t="s">
        <v>56</v>
      </c>
      <c r="F158" s="2" t="s">
        <v>41</v>
      </c>
      <c r="G158" s="4">
        <v>4284000</v>
      </c>
      <c r="H158" s="4">
        <v>350000</v>
      </c>
      <c r="I158" s="23">
        <f t="shared" si="2"/>
        <v>4200000</v>
      </c>
    </row>
    <row r="159" spans="1:9" ht="15" customHeight="1" x14ac:dyDescent="0.45">
      <c r="A159" s="5" t="s">
        <v>1130</v>
      </c>
      <c r="B159" s="5" t="s">
        <v>19</v>
      </c>
      <c r="C159" s="5" t="s">
        <v>53</v>
      </c>
      <c r="D159" s="5">
        <v>7</v>
      </c>
      <c r="E159" s="5" t="s">
        <v>56</v>
      </c>
      <c r="F159" s="5" t="s">
        <v>41</v>
      </c>
      <c r="G159" s="7">
        <v>734000</v>
      </c>
      <c r="H159" s="7">
        <v>60000</v>
      </c>
      <c r="I159" s="23">
        <f t="shared" si="2"/>
        <v>720000</v>
      </c>
    </row>
    <row r="160" spans="1:9" ht="15" customHeight="1" x14ac:dyDescent="0.45">
      <c r="A160" s="2" t="s">
        <v>1131</v>
      </c>
      <c r="B160" s="2" t="s">
        <v>19</v>
      </c>
      <c r="C160" s="2" t="s">
        <v>31</v>
      </c>
      <c r="D160" s="2">
        <v>7</v>
      </c>
      <c r="E160" s="2" t="s">
        <v>56</v>
      </c>
      <c r="F160" s="2" t="s">
        <v>41</v>
      </c>
      <c r="G160" s="4">
        <v>551000</v>
      </c>
      <c r="H160" s="4">
        <v>45000</v>
      </c>
      <c r="I160" s="23">
        <f t="shared" si="2"/>
        <v>540000</v>
      </c>
    </row>
    <row r="161" spans="1:9" ht="15" customHeight="1" x14ac:dyDescent="0.45">
      <c r="A161" s="5" t="s">
        <v>1132</v>
      </c>
      <c r="B161" s="5" t="s">
        <v>19</v>
      </c>
      <c r="C161" s="5" t="s">
        <v>63</v>
      </c>
      <c r="D161" s="5">
        <v>7</v>
      </c>
      <c r="E161" s="5" t="s">
        <v>56</v>
      </c>
      <c r="F161" s="5" t="s">
        <v>41</v>
      </c>
      <c r="G161" s="7">
        <v>245000</v>
      </c>
      <c r="H161" s="7">
        <v>20000</v>
      </c>
      <c r="I161" s="23">
        <f t="shared" si="2"/>
        <v>240000</v>
      </c>
    </row>
    <row r="162" spans="1:9" ht="15" customHeight="1" x14ac:dyDescent="0.45">
      <c r="A162" s="2" t="s">
        <v>1133</v>
      </c>
      <c r="B162" s="2" t="s">
        <v>35</v>
      </c>
      <c r="C162" s="2" t="s">
        <v>14</v>
      </c>
      <c r="D162" s="2">
        <v>7</v>
      </c>
      <c r="E162" s="2" t="s">
        <v>56</v>
      </c>
      <c r="F162" s="2" t="s">
        <v>41</v>
      </c>
      <c r="G162" s="4">
        <v>3550000</v>
      </c>
      <c r="H162" s="4">
        <v>290000</v>
      </c>
      <c r="I162" s="23">
        <f t="shared" si="2"/>
        <v>3480000</v>
      </c>
    </row>
    <row r="163" spans="1:9" ht="15" customHeight="1" x14ac:dyDescent="0.45">
      <c r="A163" s="5" t="s">
        <v>1134</v>
      </c>
      <c r="B163" s="5" t="s">
        <v>35</v>
      </c>
      <c r="C163" s="5" t="s">
        <v>105</v>
      </c>
      <c r="D163" s="5">
        <v>7</v>
      </c>
      <c r="E163" s="5" t="s">
        <v>56</v>
      </c>
      <c r="F163" s="5" t="s">
        <v>41</v>
      </c>
      <c r="G163" s="7">
        <v>490000</v>
      </c>
      <c r="H163" s="7">
        <v>40000</v>
      </c>
      <c r="I163" s="23">
        <f t="shared" si="2"/>
        <v>480000</v>
      </c>
    </row>
    <row r="164" spans="1:9" ht="15" customHeight="1" x14ac:dyDescent="0.45">
      <c r="A164" s="2" t="s">
        <v>1135</v>
      </c>
      <c r="B164" s="2" t="s">
        <v>35</v>
      </c>
      <c r="C164" s="2" t="s">
        <v>36</v>
      </c>
      <c r="D164" s="2">
        <v>7</v>
      </c>
      <c r="E164" s="2" t="s">
        <v>56</v>
      </c>
      <c r="F164" s="2" t="s">
        <v>41</v>
      </c>
      <c r="G164" s="4">
        <v>367000</v>
      </c>
      <c r="H164" s="4">
        <v>30000</v>
      </c>
      <c r="I164" s="23">
        <f t="shared" si="2"/>
        <v>360000</v>
      </c>
    </row>
    <row r="165" spans="1:9" ht="15" customHeight="1" x14ac:dyDescent="0.45">
      <c r="A165" s="5" t="s">
        <v>1136</v>
      </c>
      <c r="B165" s="5" t="s">
        <v>35</v>
      </c>
      <c r="C165" s="5" t="s">
        <v>75</v>
      </c>
      <c r="D165" s="5">
        <v>7</v>
      </c>
      <c r="E165" s="5" t="s">
        <v>56</v>
      </c>
      <c r="F165" s="5" t="s">
        <v>41</v>
      </c>
      <c r="G165" s="7">
        <v>184000</v>
      </c>
      <c r="H165" s="7">
        <v>15000</v>
      </c>
      <c r="I165" s="23">
        <f t="shared" si="2"/>
        <v>180000</v>
      </c>
    </row>
    <row r="166" spans="1:9" ht="15" customHeight="1" x14ac:dyDescent="0.45">
      <c r="A166" s="2" t="s">
        <v>1137</v>
      </c>
      <c r="B166" s="2" t="s">
        <v>71</v>
      </c>
      <c r="C166" s="2" t="s">
        <v>14</v>
      </c>
      <c r="D166" s="2">
        <v>7</v>
      </c>
      <c r="E166" s="2" t="s">
        <v>56</v>
      </c>
      <c r="F166" s="2" t="s">
        <v>41</v>
      </c>
      <c r="G166" s="4">
        <v>5018000</v>
      </c>
      <c r="H166" s="4">
        <v>410000</v>
      </c>
      <c r="I166" s="23">
        <f t="shared" si="2"/>
        <v>4920000</v>
      </c>
    </row>
    <row r="167" spans="1:9" ht="15" customHeight="1" x14ac:dyDescent="0.45">
      <c r="A167" s="5" t="s">
        <v>1138</v>
      </c>
      <c r="B167" s="5" t="s">
        <v>71</v>
      </c>
      <c r="C167" s="5" t="s">
        <v>88</v>
      </c>
      <c r="D167" s="5">
        <v>7</v>
      </c>
      <c r="E167" s="5" t="s">
        <v>56</v>
      </c>
      <c r="F167" s="5" t="s">
        <v>41</v>
      </c>
      <c r="G167" s="7">
        <v>2448000</v>
      </c>
      <c r="H167" s="7">
        <v>200000</v>
      </c>
      <c r="I167" s="23">
        <f t="shared" si="2"/>
        <v>2400000</v>
      </c>
    </row>
    <row r="168" spans="1:9" ht="15" customHeight="1" x14ac:dyDescent="0.45">
      <c r="A168" s="2" t="s">
        <v>1139</v>
      </c>
      <c r="B168" s="2" t="s">
        <v>71</v>
      </c>
      <c r="C168" s="2" t="s">
        <v>63</v>
      </c>
      <c r="D168" s="2">
        <v>7</v>
      </c>
      <c r="E168" s="2" t="s">
        <v>56</v>
      </c>
      <c r="F168" s="2" t="s">
        <v>41</v>
      </c>
      <c r="G168" s="4">
        <v>673000</v>
      </c>
      <c r="H168" s="4">
        <v>55000</v>
      </c>
      <c r="I168" s="23">
        <f t="shared" si="2"/>
        <v>660000</v>
      </c>
    </row>
    <row r="169" spans="1:9" ht="15" customHeight="1" x14ac:dyDescent="0.45">
      <c r="A169" s="5" t="s">
        <v>1140</v>
      </c>
      <c r="B169" s="5" t="s">
        <v>71</v>
      </c>
      <c r="C169" s="5" t="s">
        <v>94</v>
      </c>
      <c r="D169" s="5">
        <v>7</v>
      </c>
      <c r="E169" s="5" t="s">
        <v>56</v>
      </c>
      <c r="F169" s="5" t="s">
        <v>41</v>
      </c>
      <c r="G169" s="7">
        <v>367000</v>
      </c>
      <c r="H169" s="7">
        <v>30000</v>
      </c>
      <c r="I169" s="23">
        <f t="shared" si="2"/>
        <v>360000</v>
      </c>
    </row>
    <row r="170" spans="1:9" ht="15" customHeight="1" x14ac:dyDescent="0.45">
      <c r="A170" s="2" t="s">
        <v>1141</v>
      </c>
      <c r="B170" s="2" t="s">
        <v>57</v>
      </c>
      <c r="C170" s="2" t="s">
        <v>14</v>
      </c>
      <c r="D170" s="2">
        <v>8</v>
      </c>
      <c r="E170" s="2" t="s">
        <v>60</v>
      </c>
      <c r="F170" s="2" t="s">
        <v>41</v>
      </c>
      <c r="G170" s="4">
        <v>5141000</v>
      </c>
      <c r="H170" s="4">
        <v>420000</v>
      </c>
      <c r="I170" s="23">
        <f t="shared" si="2"/>
        <v>5040000</v>
      </c>
    </row>
    <row r="171" spans="1:9" ht="15" customHeight="1" x14ac:dyDescent="0.45">
      <c r="A171" s="5" t="s">
        <v>1142</v>
      </c>
      <c r="B171" s="5" t="s">
        <v>57</v>
      </c>
      <c r="C171" s="5" t="s">
        <v>75</v>
      </c>
      <c r="D171" s="5">
        <v>8</v>
      </c>
      <c r="E171" s="5" t="s">
        <v>60</v>
      </c>
      <c r="F171" s="5" t="s">
        <v>41</v>
      </c>
      <c r="G171" s="7">
        <v>428000</v>
      </c>
      <c r="H171" s="7">
        <v>35000</v>
      </c>
      <c r="I171" s="23">
        <f t="shared" si="2"/>
        <v>420000</v>
      </c>
    </row>
    <row r="172" spans="1:9" ht="15" customHeight="1" x14ac:dyDescent="0.45">
      <c r="A172" s="2" t="s">
        <v>1143</v>
      </c>
      <c r="B172" s="2" t="s">
        <v>57</v>
      </c>
      <c r="C172" s="2" t="s">
        <v>85</v>
      </c>
      <c r="D172" s="2">
        <v>8</v>
      </c>
      <c r="E172" s="2" t="s">
        <v>60</v>
      </c>
      <c r="F172" s="2" t="s">
        <v>41</v>
      </c>
      <c r="G172" s="4">
        <v>673000</v>
      </c>
      <c r="H172" s="4">
        <v>55000</v>
      </c>
      <c r="I172" s="23">
        <f t="shared" si="2"/>
        <v>660000</v>
      </c>
    </row>
    <row r="173" spans="1:9" ht="15" customHeight="1" x14ac:dyDescent="0.45">
      <c r="A173" s="5" t="s">
        <v>1144</v>
      </c>
      <c r="B173" s="5" t="s">
        <v>57</v>
      </c>
      <c r="C173" s="5" t="s">
        <v>63</v>
      </c>
      <c r="D173" s="5">
        <v>8</v>
      </c>
      <c r="E173" s="5" t="s">
        <v>60</v>
      </c>
      <c r="F173" s="5" t="s">
        <v>41</v>
      </c>
      <c r="G173" s="7">
        <v>220000</v>
      </c>
      <c r="H173" s="7">
        <v>18000</v>
      </c>
      <c r="I173" s="23">
        <f t="shared" si="2"/>
        <v>216000</v>
      </c>
    </row>
    <row r="174" spans="1:9" ht="15" customHeight="1" x14ac:dyDescent="0.45">
      <c r="A174" s="2" t="s">
        <v>1145</v>
      </c>
      <c r="B174" s="2" t="s">
        <v>13</v>
      </c>
      <c r="C174" s="2" t="s">
        <v>14</v>
      </c>
      <c r="D174" s="2">
        <v>8</v>
      </c>
      <c r="E174" s="2" t="s">
        <v>60</v>
      </c>
      <c r="F174" s="2" t="s">
        <v>41</v>
      </c>
      <c r="G174" s="4">
        <v>4651000</v>
      </c>
      <c r="H174" s="4">
        <v>380000</v>
      </c>
      <c r="I174" s="23">
        <f t="shared" si="2"/>
        <v>4560000</v>
      </c>
    </row>
    <row r="175" spans="1:9" ht="15" customHeight="1" x14ac:dyDescent="0.45">
      <c r="A175" s="5" t="s">
        <v>1146</v>
      </c>
      <c r="B175" s="5" t="s">
        <v>13</v>
      </c>
      <c r="C175" s="5" t="s">
        <v>102</v>
      </c>
      <c r="D175" s="5">
        <v>8</v>
      </c>
      <c r="E175" s="5" t="s">
        <v>60</v>
      </c>
      <c r="F175" s="5" t="s">
        <v>41</v>
      </c>
      <c r="G175" s="7">
        <v>1836000</v>
      </c>
      <c r="H175" s="7">
        <v>150000</v>
      </c>
      <c r="I175" s="23">
        <f t="shared" si="2"/>
        <v>1800000</v>
      </c>
    </row>
    <row r="176" spans="1:9" ht="15" customHeight="1" x14ac:dyDescent="0.45">
      <c r="A176" s="2" t="s">
        <v>1147</v>
      </c>
      <c r="B176" s="2" t="s">
        <v>13</v>
      </c>
      <c r="C176" s="2" t="s">
        <v>50</v>
      </c>
      <c r="D176" s="2">
        <v>8</v>
      </c>
      <c r="E176" s="2" t="s">
        <v>60</v>
      </c>
      <c r="F176" s="2" t="s">
        <v>41</v>
      </c>
      <c r="G176" s="4">
        <v>857000</v>
      </c>
      <c r="H176" s="4">
        <v>70000</v>
      </c>
      <c r="I176" s="23">
        <f t="shared" si="2"/>
        <v>840000</v>
      </c>
    </row>
    <row r="177" spans="1:9" ht="15" customHeight="1" x14ac:dyDescent="0.45">
      <c r="A177" s="5" t="s">
        <v>1148</v>
      </c>
      <c r="B177" s="5" t="s">
        <v>13</v>
      </c>
      <c r="C177" s="5" t="s">
        <v>63</v>
      </c>
      <c r="D177" s="5">
        <v>8</v>
      </c>
      <c r="E177" s="5" t="s">
        <v>60</v>
      </c>
      <c r="F177" s="5" t="s">
        <v>41</v>
      </c>
      <c r="G177" s="7">
        <v>306000</v>
      </c>
      <c r="H177" s="7">
        <v>25000</v>
      </c>
      <c r="I177" s="23">
        <f t="shared" si="2"/>
        <v>300000</v>
      </c>
    </row>
    <row r="178" spans="1:9" ht="15" customHeight="1" x14ac:dyDescent="0.45">
      <c r="A178" s="2" t="s">
        <v>1149</v>
      </c>
      <c r="B178" s="2" t="s">
        <v>24</v>
      </c>
      <c r="C178" s="2" t="s">
        <v>14</v>
      </c>
      <c r="D178" s="2">
        <v>8</v>
      </c>
      <c r="E178" s="2" t="s">
        <v>60</v>
      </c>
      <c r="F178" s="2" t="s">
        <v>41</v>
      </c>
      <c r="G178" s="4">
        <v>6120000</v>
      </c>
      <c r="H178" s="4">
        <v>500000</v>
      </c>
      <c r="I178" s="23">
        <f t="shared" si="2"/>
        <v>6000000</v>
      </c>
    </row>
    <row r="179" spans="1:9" ht="15" customHeight="1" x14ac:dyDescent="0.45">
      <c r="A179" s="5" t="s">
        <v>1150</v>
      </c>
      <c r="B179" s="5" t="s">
        <v>24</v>
      </c>
      <c r="C179" s="5" t="s">
        <v>36</v>
      </c>
      <c r="D179" s="5">
        <v>8</v>
      </c>
      <c r="E179" s="5" t="s">
        <v>60</v>
      </c>
      <c r="F179" s="5" t="s">
        <v>41</v>
      </c>
      <c r="G179" s="7">
        <v>1102000</v>
      </c>
      <c r="H179" s="7">
        <v>90000</v>
      </c>
      <c r="I179" s="23">
        <f t="shared" si="2"/>
        <v>1080000</v>
      </c>
    </row>
    <row r="180" spans="1:9" ht="15" customHeight="1" x14ac:dyDescent="0.45">
      <c r="A180" s="2" t="s">
        <v>1151</v>
      </c>
      <c r="B180" s="2" t="s">
        <v>24</v>
      </c>
      <c r="C180" s="2" t="s">
        <v>25</v>
      </c>
      <c r="D180" s="2">
        <v>8</v>
      </c>
      <c r="E180" s="2" t="s">
        <v>60</v>
      </c>
      <c r="F180" s="2" t="s">
        <v>41</v>
      </c>
      <c r="G180" s="4">
        <v>979000</v>
      </c>
      <c r="H180" s="4">
        <v>80000</v>
      </c>
      <c r="I180" s="23">
        <f t="shared" si="2"/>
        <v>960000</v>
      </c>
    </row>
    <row r="181" spans="1:9" ht="15" customHeight="1" x14ac:dyDescent="0.45">
      <c r="A181" s="5" t="s">
        <v>1152</v>
      </c>
      <c r="B181" s="5" t="s">
        <v>24</v>
      </c>
      <c r="C181" s="5" t="s">
        <v>44</v>
      </c>
      <c r="D181" s="5">
        <v>8</v>
      </c>
      <c r="E181" s="5" t="s">
        <v>60</v>
      </c>
      <c r="F181" s="5" t="s">
        <v>41</v>
      </c>
      <c r="G181" s="7">
        <v>1346000</v>
      </c>
      <c r="H181" s="7">
        <v>110000</v>
      </c>
      <c r="I181" s="23">
        <f t="shared" si="2"/>
        <v>1320000</v>
      </c>
    </row>
    <row r="182" spans="1:9" ht="15" customHeight="1" x14ac:dyDescent="0.45">
      <c r="A182" s="2" t="s">
        <v>1153</v>
      </c>
      <c r="B182" s="2" t="s">
        <v>19</v>
      </c>
      <c r="C182" s="2" t="s">
        <v>14</v>
      </c>
      <c r="D182" s="2">
        <v>8</v>
      </c>
      <c r="E182" s="2" t="s">
        <v>60</v>
      </c>
      <c r="F182" s="2" t="s">
        <v>41</v>
      </c>
      <c r="G182" s="4">
        <v>4284000</v>
      </c>
      <c r="H182" s="4">
        <v>350000</v>
      </c>
      <c r="I182" s="23">
        <f t="shared" si="2"/>
        <v>4200000</v>
      </c>
    </row>
    <row r="183" spans="1:9" ht="15" customHeight="1" x14ac:dyDescent="0.45">
      <c r="A183" s="5" t="s">
        <v>1154</v>
      </c>
      <c r="B183" s="5" t="s">
        <v>19</v>
      </c>
      <c r="C183" s="5" t="s">
        <v>53</v>
      </c>
      <c r="D183" s="5">
        <v>8</v>
      </c>
      <c r="E183" s="5" t="s">
        <v>60</v>
      </c>
      <c r="F183" s="5" t="s">
        <v>41</v>
      </c>
      <c r="G183" s="7">
        <v>734000</v>
      </c>
      <c r="H183" s="7">
        <v>60000</v>
      </c>
      <c r="I183" s="23">
        <f t="shared" si="2"/>
        <v>720000</v>
      </c>
    </row>
    <row r="184" spans="1:9" ht="15" customHeight="1" x14ac:dyDescent="0.45">
      <c r="A184" s="2" t="s">
        <v>1155</v>
      </c>
      <c r="B184" s="2" t="s">
        <v>19</v>
      </c>
      <c r="C184" s="2" t="s">
        <v>31</v>
      </c>
      <c r="D184" s="2">
        <v>8</v>
      </c>
      <c r="E184" s="2" t="s">
        <v>60</v>
      </c>
      <c r="F184" s="2" t="s">
        <v>41</v>
      </c>
      <c r="G184" s="4">
        <v>551000</v>
      </c>
      <c r="H184" s="4">
        <v>45000</v>
      </c>
      <c r="I184" s="23">
        <f t="shared" si="2"/>
        <v>540000</v>
      </c>
    </row>
    <row r="185" spans="1:9" ht="15" customHeight="1" x14ac:dyDescent="0.45">
      <c r="A185" s="5" t="s">
        <v>1156</v>
      </c>
      <c r="B185" s="5" t="s">
        <v>19</v>
      </c>
      <c r="C185" s="5" t="s">
        <v>63</v>
      </c>
      <c r="D185" s="5">
        <v>8</v>
      </c>
      <c r="E185" s="5" t="s">
        <v>60</v>
      </c>
      <c r="F185" s="5" t="s">
        <v>41</v>
      </c>
      <c r="G185" s="7">
        <v>245000</v>
      </c>
      <c r="H185" s="7">
        <v>20000</v>
      </c>
      <c r="I185" s="23">
        <f t="shared" si="2"/>
        <v>240000</v>
      </c>
    </row>
    <row r="186" spans="1:9" ht="15" customHeight="1" x14ac:dyDescent="0.45">
      <c r="A186" s="2" t="s">
        <v>1157</v>
      </c>
      <c r="B186" s="2" t="s">
        <v>35</v>
      </c>
      <c r="C186" s="2" t="s">
        <v>14</v>
      </c>
      <c r="D186" s="2">
        <v>8</v>
      </c>
      <c r="E186" s="2" t="s">
        <v>60</v>
      </c>
      <c r="F186" s="2" t="s">
        <v>41</v>
      </c>
      <c r="G186" s="4">
        <v>3550000</v>
      </c>
      <c r="H186" s="4">
        <v>290000</v>
      </c>
      <c r="I186" s="23">
        <f t="shared" si="2"/>
        <v>3480000</v>
      </c>
    </row>
    <row r="187" spans="1:9" ht="15" customHeight="1" x14ac:dyDescent="0.45">
      <c r="A187" s="5" t="s">
        <v>1158</v>
      </c>
      <c r="B187" s="5" t="s">
        <v>35</v>
      </c>
      <c r="C187" s="5" t="s">
        <v>105</v>
      </c>
      <c r="D187" s="5">
        <v>8</v>
      </c>
      <c r="E187" s="5" t="s">
        <v>60</v>
      </c>
      <c r="F187" s="5" t="s">
        <v>41</v>
      </c>
      <c r="G187" s="7">
        <v>490000</v>
      </c>
      <c r="H187" s="7">
        <v>40000</v>
      </c>
      <c r="I187" s="23">
        <f t="shared" si="2"/>
        <v>480000</v>
      </c>
    </row>
    <row r="188" spans="1:9" ht="15" customHeight="1" x14ac:dyDescent="0.45">
      <c r="A188" s="2" t="s">
        <v>1159</v>
      </c>
      <c r="B188" s="2" t="s">
        <v>35</v>
      </c>
      <c r="C188" s="2" t="s">
        <v>36</v>
      </c>
      <c r="D188" s="2">
        <v>8</v>
      </c>
      <c r="E188" s="2" t="s">
        <v>60</v>
      </c>
      <c r="F188" s="2" t="s">
        <v>41</v>
      </c>
      <c r="G188" s="4">
        <v>367000</v>
      </c>
      <c r="H188" s="4">
        <v>30000</v>
      </c>
      <c r="I188" s="23">
        <f t="shared" si="2"/>
        <v>360000</v>
      </c>
    </row>
    <row r="189" spans="1:9" ht="15" customHeight="1" x14ac:dyDescent="0.45">
      <c r="A189" s="5" t="s">
        <v>1160</v>
      </c>
      <c r="B189" s="5" t="s">
        <v>35</v>
      </c>
      <c r="C189" s="5" t="s">
        <v>75</v>
      </c>
      <c r="D189" s="5">
        <v>8</v>
      </c>
      <c r="E189" s="5" t="s">
        <v>60</v>
      </c>
      <c r="F189" s="5" t="s">
        <v>41</v>
      </c>
      <c r="G189" s="7">
        <v>184000</v>
      </c>
      <c r="H189" s="7">
        <v>15000</v>
      </c>
      <c r="I189" s="23">
        <f t="shared" si="2"/>
        <v>180000</v>
      </c>
    </row>
    <row r="190" spans="1:9" ht="15" customHeight="1" x14ac:dyDescent="0.45">
      <c r="A190" s="2" t="s">
        <v>1161</v>
      </c>
      <c r="B190" s="2" t="s">
        <v>71</v>
      </c>
      <c r="C190" s="2" t="s">
        <v>14</v>
      </c>
      <c r="D190" s="2">
        <v>8</v>
      </c>
      <c r="E190" s="2" t="s">
        <v>60</v>
      </c>
      <c r="F190" s="2" t="s">
        <v>41</v>
      </c>
      <c r="G190" s="4">
        <v>5018000</v>
      </c>
      <c r="H190" s="4">
        <v>410000</v>
      </c>
      <c r="I190" s="23">
        <f t="shared" si="2"/>
        <v>4920000</v>
      </c>
    </row>
    <row r="191" spans="1:9" ht="15" customHeight="1" x14ac:dyDescent="0.45">
      <c r="A191" s="5" t="s">
        <v>1162</v>
      </c>
      <c r="B191" s="5" t="s">
        <v>71</v>
      </c>
      <c r="C191" s="5" t="s">
        <v>88</v>
      </c>
      <c r="D191" s="5">
        <v>8</v>
      </c>
      <c r="E191" s="5" t="s">
        <v>60</v>
      </c>
      <c r="F191" s="5" t="s">
        <v>41</v>
      </c>
      <c r="G191" s="7">
        <v>2448000</v>
      </c>
      <c r="H191" s="7">
        <v>200000</v>
      </c>
      <c r="I191" s="23">
        <f t="shared" si="2"/>
        <v>2400000</v>
      </c>
    </row>
    <row r="192" spans="1:9" ht="15" customHeight="1" x14ac:dyDescent="0.45">
      <c r="A192" s="2" t="s">
        <v>1163</v>
      </c>
      <c r="B192" s="2" t="s">
        <v>71</v>
      </c>
      <c r="C192" s="2" t="s">
        <v>63</v>
      </c>
      <c r="D192" s="2">
        <v>8</v>
      </c>
      <c r="E192" s="2" t="s">
        <v>60</v>
      </c>
      <c r="F192" s="2" t="s">
        <v>41</v>
      </c>
      <c r="G192" s="4">
        <v>673000</v>
      </c>
      <c r="H192" s="4">
        <v>55000</v>
      </c>
      <c r="I192" s="23">
        <f t="shared" si="2"/>
        <v>660000</v>
      </c>
    </row>
    <row r="193" spans="1:9" ht="15" customHeight="1" x14ac:dyDescent="0.45">
      <c r="A193" s="5" t="s">
        <v>1164</v>
      </c>
      <c r="B193" s="5" t="s">
        <v>71</v>
      </c>
      <c r="C193" s="5" t="s">
        <v>94</v>
      </c>
      <c r="D193" s="5">
        <v>8</v>
      </c>
      <c r="E193" s="5" t="s">
        <v>60</v>
      </c>
      <c r="F193" s="5" t="s">
        <v>41</v>
      </c>
      <c r="G193" s="7">
        <v>367000</v>
      </c>
      <c r="H193" s="7">
        <v>30000</v>
      </c>
      <c r="I193" s="23">
        <f t="shared" si="2"/>
        <v>360000</v>
      </c>
    </row>
    <row r="194" spans="1:9" ht="15" customHeight="1" x14ac:dyDescent="0.45">
      <c r="A194" s="2" t="s">
        <v>1165</v>
      </c>
      <c r="B194" s="2" t="s">
        <v>57</v>
      </c>
      <c r="C194" s="2" t="s">
        <v>14</v>
      </c>
      <c r="D194" s="2">
        <v>9</v>
      </c>
      <c r="E194" s="2" t="s">
        <v>40</v>
      </c>
      <c r="F194" s="2" t="s">
        <v>41</v>
      </c>
      <c r="G194" s="4">
        <v>5141000</v>
      </c>
      <c r="H194" s="4">
        <v>462000</v>
      </c>
      <c r="I194" s="23">
        <f t="shared" si="2"/>
        <v>5544000</v>
      </c>
    </row>
    <row r="195" spans="1:9" ht="15" customHeight="1" x14ac:dyDescent="0.45">
      <c r="A195" s="5" t="s">
        <v>1166</v>
      </c>
      <c r="B195" s="5" t="s">
        <v>57</v>
      </c>
      <c r="C195" s="5" t="s">
        <v>75</v>
      </c>
      <c r="D195" s="5">
        <v>9</v>
      </c>
      <c r="E195" s="5" t="s">
        <v>40</v>
      </c>
      <c r="F195" s="5" t="s">
        <v>41</v>
      </c>
      <c r="G195" s="7">
        <v>428000</v>
      </c>
      <c r="H195" s="7">
        <v>38000</v>
      </c>
      <c r="I195" s="23">
        <f t="shared" ref="I195:I258" si="3">H195*12</f>
        <v>456000</v>
      </c>
    </row>
    <row r="196" spans="1:9" ht="15" customHeight="1" x14ac:dyDescent="0.45">
      <c r="A196" s="2" t="s">
        <v>1167</v>
      </c>
      <c r="B196" s="2" t="s">
        <v>57</v>
      </c>
      <c r="C196" s="2" t="s">
        <v>85</v>
      </c>
      <c r="D196" s="2">
        <v>9</v>
      </c>
      <c r="E196" s="2" t="s">
        <v>40</v>
      </c>
      <c r="F196" s="2" t="s">
        <v>41</v>
      </c>
      <c r="G196" s="4">
        <v>673000</v>
      </c>
      <c r="H196" s="4">
        <v>61000</v>
      </c>
      <c r="I196" s="23">
        <f t="shared" si="3"/>
        <v>732000</v>
      </c>
    </row>
    <row r="197" spans="1:9" ht="15" customHeight="1" x14ac:dyDescent="0.45">
      <c r="A197" s="5" t="s">
        <v>1168</v>
      </c>
      <c r="B197" s="5" t="s">
        <v>57</v>
      </c>
      <c r="C197" s="5" t="s">
        <v>63</v>
      </c>
      <c r="D197" s="5">
        <v>9</v>
      </c>
      <c r="E197" s="5" t="s">
        <v>40</v>
      </c>
      <c r="F197" s="5" t="s">
        <v>41</v>
      </c>
      <c r="G197" s="7">
        <v>220000</v>
      </c>
      <c r="H197" s="7">
        <v>20000</v>
      </c>
      <c r="I197" s="23">
        <f t="shared" si="3"/>
        <v>240000</v>
      </c>
    </row>
    <row r="198" spans="1:9" ht="15" customHeight="1" x14ac:dyDescent="0.45">
      <c r="A198" s="2" t="s">
        <v>1169</v>
      </c>
      <c r="B198" s="2" t="s">
        <v>13</v>
      </c>
      <c r="C198" s="2" t="s">
        <v>14</v>
      </c>
      <c r="D198" s="2">
        <v>9</v>
      </c>
      <c r="E198" s="2" t="s">
        <v>40</v>
      </c>
      <c r="F198" s="2" t="s">
        <v>41</v>
      </c>
      <c r="G198" s="4">
        <v>4651000</v>
      </c>
      <c r="H198" s="4">
        <v>418000</v>
      </c>
      <c r="I198" s="23">
        <f t="shared" si="3"/>
        <v>5016000</v>
      </c>
    </row>
    <row r="199" spans="1:9" ht="15" customHeight="1" x14ac:dyDescent="0.45">
      <c r="A199" s="5" t="s">
        <v>1170</v>
      </c>
      <c r="B199" s="5" t="s">
        <v>13</v>
      </c>
      <c r="C199" s="5" t="s">
        <v>102</v>
      </c>
      <c r="D199" s="5">
        <v>9</v>
      </c>
      <c r="E199" s="5" t="s">
        <v>40</v>
      </c>
      <c r="F199" s="5" t="s">
        <v>41</v>
      </c>
      <c r="G199" s="7">
        <v>1836000</v>
      </c>
      <c r="H199" s="7">
        <v>165000</v>
      </c>
      <c r="I199" s="23">
        <f t="shared" si="3"/>
        <v>1980000</v>
      </c>
    </row>
    <row r="200" spans="1:9" ht="15" customHeight="1" x14ac:dyDescent="0.45">
      <c r="A200" s="2" t="s">
        <v>1171</v>
      </c>
      <c r="B200" s="2" t="s">
        <v>13</v>
      </c>
      <c r="C200" s="2" t="s">
        <v>50</v>
      </c>
      <c r="D200" s="2">
        <v>9</v>
      </c>
      <c r="E200" s="2" t="s">
        <v>40</v>
      </c>
      <c r="F200" s="2" t="s">
        <v>41</v>
      </c>
      <c r="G200" s="4">
        <v>857000</v>
      </c>
      <c r="H200" s="4">
        <v>77000</v>
      </c>
      <c r="I200" s="23">
        <f t="shared" si="3"/>
        <v>924000</v>
      </c>
    </row>
    <row r="201" spans="1:9" ht="15" customHeight="1" x14ac:dyDescent="0.45">
      <c r="A201" s="5" t="s">
        <v>1172</v>
      </c>
      <c r="B201" s="5" t="s">
        <v>13</v>
      </c>
      <c r="C201" s="5" t="s">
        <v>63</v>
      </c>
      <c r="D201" s="5">
        <v>9</v>
      </c>
      <c r="E201" s="5" t="s">
        <v>40</v>
      </c>
      <c r="F201" s="5" t="s">
        <v>41</v>
      </c>
      <c r="G201" s="7">
        <v>306000</v>
      </c>
      <c r="H201" s="7">
        <v>28000</v>
      </c>
      <c r="I201" s="23">
        <f t="shared" si="3"/>
        <v>336000</v>
      </c>
    </row>
    <row r="202" spans="1:9" ht="15" customHeight="1" x14ac:dyDescent="0.45">
      <c r="A202" s="2" t="s">
        <v>1173</v>
      </c>
      <c r="B202" s="2" t="s">
        <v>24</v>
      </c>
      <c r="C202" s="2" t="s">
        <v>14</v>
      </c>
      <c r="D202" s="2">
        <v>9</v>
      </c>
      <c r="E202" s="2" t="s">
        <v>40</v>
      </c>
      <c r="F202" s="2" t="s">
        <v>41</v>
      </c>
      <c r="G202" s="4">
        <v>6120000</v>
      </c>
      <c r="H202" s="4">
        <v>550000</v>
      </c>
      <c r="I202" s="23">
        <f t="shared" si="3"/>
        <v>6600000</v>
      </c>
    </row>
    <row r="203" spans="1:9" ht="15" customHeight="1" x14ac:dyDescent="0.45">
      <c r="A203" s="5" t="s">
        <v>1174</v>
      </c>
      <c r="B203" s="5" t="s">
        <v>24</v>
      </c>
      <c r="C203" s="5" t="s">
        <v>36</v>
      </c>
      <c r="D203" s="5">
        <v>9</v>
      </c>
      <c r="E203" s="5" t="s">
        <v>40</v>
      </c>
      <c r="F203" s="5" t="s">
        <v>41</v>
      </c>
      <c r="G203" s="7">
        <v>1102000</v>
      </c>
      <c r="H203" s="7">
        <v>99000</v>
      </c>
      <c r="I203" s="23">
        <f t="shared" si="3"/>
        <v>1188000</v>
      </c>
    </row>
    <row r="204" spans="1:9" ht="15" customHeight="1" x14ac:dyDescent="0.45">
      <c r="A204" s="2" t="s">
        <v>1175</v>
      </c>
      <c r="B204" s="2" t="s">
        <v>24</v>
      </c>
      <c r="C204" s="2" t="s">
        <v>25</v>
      </c>
      <c r="D204" s="2">
        <v>9</v>
      </c>
      <c r="E204" s="2" t="s">
        <v>40</v>
      </c>
      <c r="F204" s="2" t="s">
        <v>41</v>
      </c>
      <c r="G204" s="4">
        <v>979000</v>
      </c>
      <c r="H204" s="4">
        <v>88000</v>
      </c>
      <c r="I204" s="23">
        <f t="shared" si="3"/>
        <v>1056000</v>
      </c>
    </row>
    <row r="205" spans="1:9" ht="15" customHeight="1" x14ac:dyDescent="0.45">
      <c r="A205" s="5" t="s">
        <v>1176</v>
      </c>
      <c r="B205" s="5" t="s">
        <v>24</v>
      </c>
      <c r="C205" s="5" t="s">
        <v>44</v>
      </c>
      <c r="D205" s="5">
        <v>9</v>
      </c>
      <c r="E205" s="5" t="s">
        <v>40</v>
      </c>
      <c r="F205" s="5" t="s">
        <v>41</v>
      </c>
      <c r="G205" s="7">
        <v>1346000</v>
      </c>
      <c r="H205" s="7">
        <v>121000</v>
      </c>
      <c r="I205" s="23">
        <f t="shared" si="3"/>
        <v>1452000</v>
      </c>
    </row>
    <row r="206" spans="1:9" ht="15" customHeight="1" x14ac:dyDescent="0.45">
      <c r="A206" s="2" t="s">
        <v>1177</v>
      </c>
      <c r="B206" s="2" t="s">
        <v>19</v>
      </c>
      <c r="C206" s="2" t="s">
        <v>14</v>
      </c>
      <c r="D206" s="2">
        <v>9</v>
      </c>
      <c r="E206" s="2" t="s">
        <v>40</v>
      </c>
      <c r="F206" s="2" t="s">
        <v>41</v>
      </c>
      <c r="G206" s="4">
        <v>4284000</v>
      </c>
      <c r="H206" s="4">
        <v>385000</v>
      </c>
      <c r="I206" s="23">
        <f t="shared" si="3"/>
        <v>4620000</v>
      </c>
    </row>
    <row r="207" spans="1:9" ht="15" customHeight="1" x14ac:dyDescent="0.45">
      <c r="A207" s="5" t="s">
        <v>1178</v>
      </c>
      <c r="B207" s="5" t="s">
        <v>19</v>
      </c>
      <c r="C207" s="5" t="s">
        <v>53</v>
      </c>
      <c r="D207" s="5">
        <v>9</v>
      </c>
      <c r="E207" s="5" t="s">
        <v>40</v>
      </c>
      <c r="F207" s="5" t="s">
        <v>41</v>
      </c>
      <c r="G207" s="7">
        <v>734000</v>
      </c>
      <c r="H207" s="7">
        <v>66000</v>
      </c>
      <c r="I207" s="23">
        <f t="shared" si="3"/>
        <v>792000</v>
      </c>
    </row>
    <row r="208" spans="1:9" ht="15" customHeight="1" x14ac:dyDescent="0.45">
      <c r="A208" s="2" t="s">
        <v>1179</v>
      </c>
      <c r="B208" s="2" t="s">
        <v>19</v>
      </c>
      <c r="C208" s="2" t="s">
        <v>31</v>
      </c>
      <c r="D208" s="2">
        <v>9</v>
      </c>
      <c r="E208" s="2" t="s">
        <v>40</v>
      </c>
      <c r="F208" s="2" t="s">
        <v>41</v>
      </c>
      <c r="G208" s="4">
        <v>551000</v>
      </c>
      <c r="H208" s="4">
        <v>50000</v>
      </c>
      <c r="I208" s="23">
        <f t="shared" si="3"/>
        <v>600000</v>
      </c>
    </row>
    <row r="209" spans="1:9" ht="15" customHeight="1" x14ac:dyDescent="0.45">
      <c r="A209" s="5" t="s">
        <v>1180</v>
      </c>
      <c r="B209" s="5" t="s">
        <v>19</v>
      </c>
      <c r="C209" s="5" t="s">
        <v>63</v>
      </c>
      <c r="D209" s="5">
        <v>9</v>
      </c>
      <c r="E209" s="5" t="s">
        <v>40</v>
      </c>
      <c r="F209" s="5" t="s">
        <v>41</v>
      </c>
      <c r="G209" s="7">
        <v>245000</v>
      </c>
      <c r="H209" s="7">
        <v>22000</v>
      </c>
      <c r="I209" s="23">
        <f t="shared" si="3"/>
        <v>264000</v>
      </c>
    </row>
    <row r="210" spans="1:9" ht="15" customHeight="1" x14ac:dyDescent="0.45">
      <c r="A210" s="2" t="s">
        <v>1181</v>
      </c>
      <c r="B210" s="2" t="s">
        <v>35</v>
      </c>
      <c r="C210" s="2" t="s">
        <v>14</v>
      </c>
      <c r="D210" s="2">
        <v>9</v>
      </c>
      <c r="E210" s="2" t="s">
        <v>40</v>
      </c>
      <c r="F210" s="2" t="s">
        <v>41</v>
      </c>
      <c r="G210" s="4">
        <v>3550000</v>
      </c>
      <c r="H210" s="4">
        <v>319000</v>
      </c>
      <c r="I210" s="23">
        <f t="shared" si="3"/>
        <v>3828000</v>
      </c>
    </row>
    <row r="211" spans="1:9" ht="15" customHeight="1" x14ac:dyDescent="0.45">
      <c r="A211" s="5" t="s">
        <v>1182</v>
      </c>
      <c r="B211" s="5" t="s">
        <v>35</v>
      </c>
      <c r="C211" s="5" t="s">
        <v>105</v>
      </c>
      <c r="D211" s="5">
        <v>9</v>
      </c>
      <c r="E211" s="5" t="s">
        <v>40</v>
      </c>
      <c r="F211" s="5" t="s">
        <v>41</v>
      </c>
      <c r="G211" s="7">
        <v>490000</v>
      </c>
      <c r="H211" s="7">
        <v>44000</v>
      </c>
      <c r="I211" s="23">
        <f t="shared" si="3"/>
        <v>528000</v>
      </c>
    </row>
    <row r="212" spans="1:9" ht="15" customHeight="1" x14ac:dyDescent="0.45">
      <c r="A212" s="2" t="s">
        <v>1183</v>
      </c>
      <c r="B212" s="2" t="s">
        <v>35</v>
      </c>
      <c r="C212" s="2" t="s">
        <v>36</v>
      </c>
      <c r="D212" s="2">
        <v>9</v>
      </c>
      <c r="E212" s="2" t="s">
        <v>40</v>
      </c>
      <c r="F212" s="2" t="s">
        <v>41</v>
      </c>
      <c r="G212" s="4">
        <v>367000</v>
      </c>
      <c r="H212" s="4">
        <v>33000</v>
      </c>
      <c r="I212" s="23">
        <f t="shared" si="3"/>
        <v>396000</v>
      </c>
    </row>
    <row r="213" spans="1:9" ht="15" customHeight="1" x14ac:dyDescent="0.45">
      <c r="A213" s="5" t="s">
        <v>1184</v>
      </c>
      <c r="B213" s="5" t="s">
        <v>35</v>
      </c>
      <c r="C213" s="5" t="s">
        <v>75</v>
      </c>
      <c r="D213" s="5">
        <v>9</v>
      </c>
      <c r="E213" s="5" t="s">
        <v>40</v>
      </c>
      <c r="F213" s="5" t="s">
        <v>41</v>
      </c>
      <c r="G213" s="7">
        <v>184000</v>
      </c>
      <c r="H213" s="7">
        <v>16000</v>
      </c>
      <c r="I213" s="23">
        <f t="shared" si="3"/>
        <v>192000</v>
      </c>
    </row>
    <row r="214" spans="1:9" ht="15" customHeight="1" x14ac:dyDescent="0.45">
      <c r="A214" s="2" t="s">
        <v>1185</v>
      </c>
      <c r="B214" s="2" t="s">
        <v>71</v>
      </c>
      <c r="C214" s="2" t="s">
        <v>14</v>
      </c>
      <c r="D214" s="2">
        <v>9</v>
      </c>
      <c r="E214" s="2" t="s">
        <v>40</v>
      </c>
      <c r="F214" s="2" t="s">
        <v>41</v>
      </c>
      <c r="G214" s="4">
        <v>5018000</v>
      </c>
      <c r="H214" s="4">
        <v>451000</v>
      </c>
      <c r="I214" s="23">
        <f t="shared" si="3"/>
        <v>5412000</v>
      </c>
    </row>
    <row r="215" spans="1:9" ht="15" customHeight="1" x14ac:dyDescent="0.45">
      <c r="A215" s="5" t="s">
        <v>1186</v>
      </c>
      <c r="B215" s="5" t="s">
        <v>71</v>
      </c>
      <c r="C215" s="5" t="s">
        <v>88</v>
      </c>
      <c r="D215" s="5">
        <v>9</v>
      </c>
      <c r="E215" s="5" t="s">
        <v>40</v>
      </c>
      <c r="F215" s="5" t="s">
        <v>41</v>
      </c>
      <c r="G215" s="7">
        <v>2448000</v>
      </c>
      <c r="H215" s="7">
        <v>220000</v>
      </c>
      <c r="I215" s="23">
        <f t="shared" si="3"/>
        <v>2640000</v>
      </c>
    </row>
    <row r="216" spans="1:9" ht="15" customHeight="1" x14ac:dyDescent="0.45">
      <c r="A216" s="2" t="s">
        <v>1187</v>
      </c>
      <c r="B216" s="2" t="s">
        <v>71</v>
      </c>
      <c r="C216" s="2" t="s">
        <v>63</v>
      </c>
      <c r="D216" s="2">
        <v>9</v>
      </c>
      <c r="E216" s="2" t="s">
        <v>40</v>
      </c>
      <c r="F216" s="2" t="s">
        <v>41</v>
      </c>
      <c r="G216" s="4">
        <v>673000</v>
      </c>
      <c r="H216" s="4">
        <v>61000</v>
      </c>
      <c r="I216" s="23">
        <f t="shared" si="3"/>
        <v>732000</v>
      </c>
    </row>
    <row r="217" spans="1:9" ht="15" customHeight="1" x14ac:dyDescent="0.45">
      <c r="A217" s="5" t="s">
        <v>1188</v>
      </c>
      <c r="B217" s="5" t="s">
        <v>71</v>
      </c>
      <c r="C217" s="5" t="s">
        <v>94</v>
      </c>
      <c r="D217" s="5">
        <v>9</v>
      </c>
      <c r="E217" s="5" t="s">
        <v>40</v>
      </c>
      <c r="F217" s="5" t="s">
        <v>41</v>
      </c>
      <c r="G217" s="7">
        <v>367000</v>
      </c>
      <c r="H217" s="7">
        <v>33000</v>
      </c>
      <c r="I217" s="23">
        <f t="shared" si="3"/>
        <v>396000</v>
      </c>
    </row>
    <row r="218" spans="1:9" ht="15" customHeight="1" x14ac:dyDescent="0.45">
      <c r="A218" s="2" t="s">
        <v>1189</v>
      </c>
      <c r="B218" s="2" t="s">
        <v>57</v>
      </c>
      <c r="C218" s="2" t="s">
        <v>14</v>
      </c>
      <c r="D218" s="2">
        <v>10</v>
      </c>
      <c r="E218" s="2" t="s">
        <v>40</v>
      </c>
      <c r="F218" s="2" t="s">
        <v>30</v>
      </c>
      <c r="G218" s="4">
        <v>5141000</v>
      </c>
      <c r="H218" s="4">
        <v>441000</v>
      </c>
      <c r="I218" s="23">
        <f t="shared" si="3"/>
        <v>5292000</v>
      </c>
    </row>
    <row r="219" spans="1:9" ht="15" customHeight="1" x14ac:dyDescent="0.45">
      <c r="A219" s="5" t="s">
        <v>1190</v>
      </c>
      <c r="B219" s="5" t="s">
        <v>57</v>
      </c>
      <c r="C219" s="5" t="s">
        <v>75</v>
      </c>
      <c r="D219" s="5">
        <v>10</v>
      </c>
      <c r="E219" s="5" t="s">
        <v>40</v>
      </c>
      <c r="F219" s="5" t="s">
        <v>30</v>
      </c>
      <c r="G219" s="7">
        <v>428000</v>
      </c>
      <c r="H219" s="7">
        <v>37000</v>
      </c>
      <c r="I219" s="23">
        <f t="shared" si="3"/>
        <v>444000</v>
      </c>
    </row>
    <row r="220" spans="1:9" ht="15" customHeight="1" x14ac:dyDescent="0.45">
      <c r="A220" s="2" t="s">
        <v>1191</v>
      </c>
      <c r="B220" s="2" t="s">
        <v>57</v>
      </c>
      <c r="C220" s="2" t="s">
        <v>85</v>
      </c>
      <c r="D220" s="2">
        <v>10</v>
      </c>
      <c r="E220" s="2" t="s">
        <v>40</v>
      </c>
      <c r="F220" s="2" t="s">
        <v>30</v>
      </c>
      <c r="G220" s="4">
        <v>673000</v>
      </c>
      <c r="H220" s="4">
        <v>58000</v>
      </c>
      <c r="I220" s="23">
        <f t="shared" si="3"/>
        <v>696000</v>
      </c>
    </row>
    <row r="221" spans="1:9" ht="15" customHeight="1" x14ac:dyDescent="0.45">
      <c r="A221" s="5" t="s">
        <v>1192</v>
      </c>
      <c r="B221" s="5" t="s">
        <v>57</v>
      </c>
      <c r="C221" s="5" t="s">
        <v>63</v>
      </c>
      <c r="D221" s="5">
        <v>10</v>
      </c>
      <c r="E221" s="5" t="s">
        <v>40</v>
      </c>
      <c r="F221" s="5" t="s">
        <v>30</v>
      </c>
      <c r="G221" s="7">
        <v>220000</v>
      </c>
      <c r="H221" s="7">
        <v>19000</v>
      </c>
      <c r="I221" s="23">
        <f t="shared" si="3"/>
        <v>228000</v>
      </c>
    </row>
    <row r="222" spans="1:9" ht="15" customHeight="1" x14ac:dyDescent="0.45">
      <c r="A222" s="2" t="s">
        <v>1193</v>
      </c>
      <c r="B222" s="2" t="s">
        <v>13</v>
      </c>
      <c r="C222" s="2" t="s">
        <v>14</v>
      </c>
      <c r="D222" s="2">
        <v>10</v>
      </c>
      <c r="E222" s="2" t="s">
        <v>40</v>
      </c>
      <c r="F222" s="2" t="s">
        <v>30</v>
      </c>
      <c r="G222" s="4">
        <v>4651000</v>
      </c>
      <c r="H222" s="4">
        <v>399000</v>
      </c>
      <c r="I222" s="23">
        <f t="shared" si="3"/>
        <v>4788000</v>
      </c>
    </row>
    <row r="223" spans="1:9" ht="15" customHeight="1" x14ac:dyDescent="0.45">
      <c r="A223" s="5" t="s">
        <v>1194</v>
      </c>
      <c r="B223" s="5" t="s">
        <v>13</v>
      </c>
      <c r="C223" s="5" t="s">
        <v>102</v>
      </c>
      <c r="D223" s="5">
        <v>10</v>
      </c>
      <c r="E223" s="5" t="s">
        <v>40</v>
      </c>
      <c r="F223" s="5" t="s">
        <v>30</v>
      </c>
      <c r="G223" s="7">
        <v>1836000</v>
      </c>
      <c r="H223" s="7">
        <v>158000</v>
      </c>
      <c r="I223" s="23">
        <f t="shared" si="3"/>
        <v>1896000</v>
      </c>
    </row>
    <row r="224" spans="1:9" ht="15" customHeight="1" x14ac:dyDescent="0.45">
      <c r="A224" s="2" t="s">
        <v>1195</v>
      </c>
      <c r="B224" s="2" t="s">
        <v>13</v>
      </c>
      <c r="C224" s="2" t="s">
        <v>50</v>
      </c>
      <c r="D224" s="2">
        <v>10</v>
      </c>
      <c r="E224" s="2" t="s">
        <v>40</v>
      </c>
      <c r="F224" s="2" t="s">
        <v>30</v>
      </c>
      <c r="G224" s="4">
        <v>857000</v>
      </c>
      <c r="H224" s="4">
        <v>74000</v>
      </c>
      <c r="I224" s="23">
        <f t="shared" si="3"/>
        <v>888000</v>
      </c>
    </row>
    <row r="225" spans="1:9" ht="15" customHeight="1" x14ac:dyDescent="0.45">
      <c r="A225" s="5" t="s">
        <v>1196</v>
      </c>
      <c r="B225" s="5" t="s">
        <v>13</v>
      </c>
      <c r="C225" s="5" t="s">
        <v>63</v>
      </c>
      <c r="D225" s="5">
        <v>10</v>
      </c>
      <c r="E225" s="5" t="s">
        <v>40</v>
      </c>
      <c r="F225" s="5" t="s">
        <v>30</v>
      </c>
      <c r="G225" s="7">
        <v>306000</v>
      </c>
      <c r="H225" s="7">
        <v>26000</v>
      </c>
      <c r="I225" s="23">
        <f t="shared" si="3"/>
        <v>312000</v>
      </c>
    </row>
    <row r="226" spans="1:9" ht="15" customHeight="1" x14ac:dyDescent="0.45">
      <c r="A226" s="2" t="s">
        <v>1197</v>
      </c>
      <c r="B226" s="2" t="s">
        <v>24</v>
      </c>
      <c r="C226" s="2" t="s">
        <v>14</v>
      </c>
      <c r="D226" s="2">
        <v>10</v>
      </c>
      <c r="E226" s="2" t="s">
        <v>40</v>
      </c>
      <c r="F226" s="2" t="s">
        <v>30</v>
      </c>
      <c r="G226" s="4">
        <v>6120000</v>
      </c>
      <c r="H226" s="4">
        <v>525000</v>
      </c>
      <c r="I226" s="23">
        <f t="shared" si="3"/>
        <v>6300000</v>
      </c>
    </row>
    <row r="227" spans="1:9" ht="15" customHeight="1" x14ac:dyDescent="0.45">
      <c r="A227" s="5" t="s">
        <v>1198</v>
      </c>
      <c r="B227" s="5" t="s">
        <v>24</v>
      </c>
      <c r="C227" s="5" t="s">
        <v>36</v>
      </c>
      <c r="D227" s="5">
        <v>10</v>
      </c>
      <c r="E227" s="5" t="s">
        <v>40</v>
      </c>
      <c r="F227" s="5" t="s">
        <v>30</v>
      </c>
      <c r="G227" s="7">
        <v>1102000</v>
      </c>
      <c r="H227" s="7">
        <v>94000</v>
      </c>
      <c r="I227" s="23">
        <f t="shared" si="3"/>
        <v>1128000</v>
      </c>
    </row>
    <row r="228" spans="1:9" ht="15" customHeight="1" x14ac:dyDescent="0.45">
      <c r="A228" s="2" t="s">
        <v>1199</v>
      </c>
      <c r="B228" s="2" t="s">
        <v>24</v>
      </c>
      <c r="C228" s="2" t="s">
        <v>25</v>
      </c>
      <c r="D228" s="2">
        <v>10</v>
      </c>
      <c r="E228" s="2" t="s">
        <v>40</v>
      </c>
      <c r="F228" s="2" t="s">
        <v>30</v>
      </c>
      <c r="G228" s="4">
        <v>979000</v>
      </c>
      <c r="H228" s="4">
        <v>84000</v>
      </c>
      <c r="I228" s="23">
        <f t="shared" si="3"/>
        <v>1008000</v>
      </c>
    </row>
    <row r="229" spans="1:9" ht="15" customHeight="1" x14ac:dyDescent="0.45">
      <c r="A229" s="5" t="s">
        <v>1200</v>
      </c>
      <c r="B229" s="5" t="s">
        <v>24</v>
      </c>
      <c r="C229" s="5" t="s">
        <v>44</v>
      </c>
      <c r="D229" s="5">
        <v>10</v>
      </c>
      <c r="E229" s="5" t="s">
        <v>40</v>
      </c>
      <c r="F229" s="5" t="s">
        <v>30</v>
      </c>
      <c r="G229" s="7">
        <v>1346000</v>
      </c>
      <c r="H229" s="7">
        <v>116000</v>
      </c>
      <c r="I229" s="23">
        <f t="shared" si="3"/>
        <v>1392000</v>
      </c>
    </row>
    <row r="230" spans="1:9" ht="15" customHeight="1" x14ac:dyDescent="0.45">
      <c r="A230" s="2" t="s">
        <v>1201</v>
      </c>
      <c r="B230" s="2" t="s">
        <v>19</v>
      </c>
      <c r="C230" s="2" t="s">
        <v>14</v>
      </c>
      <c r="D230" s="2">
        <v>10</v>
      </c>
      <c r="E230" s="2" t="s">
        <v>40</v>
      </c>
      <c r="F230" s="2" t="s">
        <v>30</v>
      </c>
      <c r="G230" s="4">
        <v>4284000</v>
      </c>
      <c r="H230" s="4">
        <v>368000</v>
      </c>
      <c r="I230" s="23">
        <f t="shared" si="3"/>
        <v>4416000</v>
      </c>
    </row>
    <row r="231" spans="1:9" ht="15" customHeight="1" x14ac:dyDescent="0.45">
      <c r="A231" s="5" t="s">
        <v>1202</v>
      </c>
      <c r="B231" s="5" t="s">
        <v>19</v>
      </c>
      <c r="C231" s="5" t="s">
        <v>53</v>
      </c>
      <c r="D231" s="5">
        <v>10</v>
      </c>
      <c r="E231" s="5" t="s">
        <v>40</v>
      </c>
      <c r="F231" s="5" t="s">
        <v>30</v>
      </c>
      <c r="G231" s="7">
        <v>734000</v>
      </c>
      <c r="H231" s="7">
        <v>63000</v>
      </c>
      <c r="I231" s="23">
        <f t="shared" si="3"/>
        <v>756000</v>
      </c>
    </row>
    <row r="232" spans="1:9" ht="15" customHeight="1" x14ac:dyDescent="0.45">
      <c r="A232" s="2" t="s">
        <v>1203</v>
      </c>
      <c r="B232" s="2" t="s">
        <v>19</v>
      </c>
      <c r="C232" s="2" t="s">
        <v>31</v>
      </c>
      <c r="D232" s="2">
        <v>10</v>
      </c>
      <c r="E232" s="2" t="s">
        <v>40</v>
      </c>
      <c r="F232" s="2" t="s">
        <v>30</v>
      </c>
      <c r="G232" s="4">
        <v>551000</v>
      </c>
      <c r="H232" s="4">
        <v>47000</v>
      </c>
      <c r="I232" s="23">
        <f t="shared" si="3"/>
        <v>564000</v>
      </c>
    </row>
    <row r="233" spans="1:9" ht="15" customHeight="1" x14ac:dyDescent="0.45">
      <c r="A233" s="5" t="s">
        <v>1204</v>
      </c>
      <c r="B233" s="5" t="s">
        <v>19</v>
      </c>
      <c r="C233" s="5" t="s">
        <v>63</v>
      </c>
      <c r="D233" s="5">
        <v>10</v>
      </c>
      <c r="E233" s="5" t="s">
        <v>40</v>
      </c>
      <c r="F233" s="5" t="s">
        <v>30</v>
      </c>
      <c r="G233" s="7">
        <v>245000</v>
      </c>
      <c r="H233" s="7">
        <v>21000</v>
      </c>
      <c r="I233" s="23">
        <f t="shared" si="3"/>
        <v>252000</v>
      </c>
    </row>
    <row r="234" spans="1:9" ht="15" customHeight="1" x14ac:dyDescent="0.45">
      <c r="A234" s="2" t="s">
        <v>1205</v>
      </c>
      <c r="B234" s="2" t="s">
        <v>35</v>
      </c>
      <c r="C234" s="2" t="s">
        <v>14</v>
      </c>
      <c r="D234" s="2">
        <v>10</v>
      </c>
      <c r="E234" s="2" t="s">
        <v>40</v>
      </c>
      <c r="F234" s="2" t="s">
        <v>30</v>
      </c>
      <c r="G234" s="4">
        <v>3550000</v>
      </c>
      <c r="H234" s="4">
        <v>304000</v>
      </c>
      <c r="I234" s="23">
        <f t="shared" si="3"/>
        <v>3648000</v>
      </c>
    </row>
    <row r="235" spans="1:9" ht="15" customHeight="1" x14ac:dyDescent="0.45">
      <c r="A235" s="5" t="s">
        <v>1206</v>
      </c>
      <c r="B235" s="5" t="s">
        <v>35</v>
      </c>
      <c r="C235" s="5" t="s">
        <v>105</v>
      </c>
      <c r="D235" s="5">
        <v>10</v>
      </c>
      <c r="E235" s="5" t="s">
        <v>40</v>
      </c>
      <c r="F235" s="5" t="s">
        <v>30</v>
      </c>
      <c r="G235" s="7">
        <v>490000</v>
      </c>
      <c r="H235" s="7">
        <v>42000</v>
      </c>
      <c r="I235" s="23">
        <f t="shared" si="3"/>
        <v>504000</v>
      </c>
    </row>
    <row r="236" spans="1:9" ht="15" customHeight="1" x14ac:dyDescent="0.45">
      <c r="A236" s="2" t="s">
        <v>1207</v>
      </c>
      <c r="B236" s="2" t="s">
        <v>35</v>
      </c>
      <c r="C236" s="2" t="s">
        <v>36</v>
      </c>
      <c r="D236" s="2">
        <v>10</v>
      </c>
      <c r="E236" s="2" t="s">
        <v>40</v>
      </c>
      <c r="F236" s="2" t="s">
        <v>30</v>
      </c>
      <c r="G236" s="4">
        <v>367000</v>
      </c>
      <c r="H236" s="4">
        <v>32000</v>
      </c>
      <c r="I236" s="23">
        <f t="shared" si="3"/>
        <v>384000</v>
      </c>
    </row>
    <row r="237" spans="1:9" ht="15" customHeight="1" x14ac:dyDescent="0.45">
      <c r="A237" s="5" t="s">
        <v>1208</v>
      </c>
      <c r="B237" s="5" t="s">
        <v>35</v>
      </c>
      <c r="C237" s="5" t="s">
        <v>75</v>
      </c>
      <c r="D237" s="5">
        <v>10</v>
      </c>
      <c r="E237" s="5" t="s">
        <v>40</v>
      </c>
      <c r="F237" s="5" t="s">
        <v>30</v>
      </c>
      <c r="G237" s="7">
        <v>184000</v>
      </c>
      <c r="H237" s="7">
        <v>16000</v>
      </c>
      <c r="I237" s="23">
        <f t="shared" si="3"/>
        <v>192000</v>
      </c>
    </row>
    <row r="238" spans="1:9" ht="15" customHeight="1" x14ac:dyDescent="0.45">
      <c r="A238" s="2" t="s">
        <v>1209</v>
      </c>
      <c r="B238" s="2" t="s">
        <v>71</v>
      </c>
      <c r="C238" s="2" t="s">
        <v>14</v>
      </c>
      <c r="D238" s="2">
        <v>10</v>
      </c>
      <c r="E238" s="2" t="s">
        <v>40</v>
      </c>
      <c r="F238" s="2" t="s">
        <v>30</v>
      </c>
      <c r="G238" s="4">
        <v>5018000</v>
      </c>
      <c r="H238" s="4">
        <v>430000</v>
      </c>
      <c r="I238" s="23">
        <f t="shared" si="3"/>
        <v>5160000</v>
      </c>
    </row>
    <row r="239" spans="1:9" ht="15" customHeight="1" x14ac:dyDescent="0.45">
      <c r="A239" s="5" t="s">
        <v>1210</v>
      </c>
      <c r="B239" s="5" t="s">
        <v>71</v>
      </c>
      <c r="C239" s="5" t="s">
        <v>88</v>
      </c>
      <c r="D239" s="5">
        <v>10</v>
      </c>
      <c r="E239" s="5" t="s">
        <v>40</v>
      </c>
      <c r="F239" s="5" t="s">
        <v>30</v>
      </c>
      <c r="G239" s="7">
        <v>2448000</v>
      </c>
      <c r="H239" s="7">
        <v>210000</v>
      </c>
      <c r="I239" s="23">
        <f t="shared" si="3"/>
        <v>2520000</v>
      </c>
    </row>
    <row r="240" spans="1:9" ht="15" customHeight="1" x14ac:dyDescent="0.45">
      <c r="A240" s="2" t="s">
        <v>1211</v>
      </c>
      <c r="B240" s="2" t="s">
        <v>71</v>
      </c>
      <c r="C240" s="2" t="s">
        <v>63</v>
      </c>
      <c r="D240" s="2">
        <v>10</v>
      </c>
      <c r="E240" s="2" t="s">
        <v>40</v>
      </c>
      <c r="F240" s="2" t="s">
        <v>30</v>
      </c>
      <c r="G240" s="4">
        <v>673000</v>
      </c>
      <c r="H240" s="4">
        <v>58000</v>
      </c>
      <c r="I240" s="23">
        <f t="shared" si="3"/>
        <v>696000</v>
      </c>
    </row>
    <row r="241" spans="1:9" ht="15" customHeight="1" x14ac:dyDescent="0.45">
      <c r="A241" s="5" t="s">
        <v>1212</v>
      </c>
      <c r="B241" s="5" t="s">
        <v>71</v>
      </c>
      <c r="C241" s="5" t="s">
        <v>94</v>
      </c>
      <c r="D241" s="5">
        <v>10</v>
      </c>
      <c r="E241" s="5" t="s">
        <v>40</v>
      </c>
      <c r="F241" s="5" t="s">
        <v>30</v>
      </c>
      <c r="G241" s="7">
        <v>367000</v>
      </c>
      <c r="H241" s="7">
        <v>32000</v>
      </c>
      <c r="I241" s="23">
        <f t="shared" si="3"/>
        <v>384000</v>
      </c>
    </row>
    <row r="242" spans="1:9" ht="15" customHeight="1" x14ac:dyDescent="0.45">
      <c r="A242" s="2" t="s">
        <v>1213</v>
      </c>
      <c r="B242" s="2" t="s">
        <v>57</v>
      </c>
      <c r="C242" s="2" t="s">
        <v>14</v>
      </c>
      <c r="D242" s="2">
        <v>11</v>
      </c>
      <c r="E242" s="2" t="s">
        <v>29</v>
      </c>
      <c r="F242" s="2" t="s">
        <v>30</v>
      </c>
      <c r="G242" s="4">
        <v>5141000</v>
      </c>
      <c r="H242" s="4">
        <v>441000</v>
      </c>
      <c r="I242" s="23">
        <f t="shared" si="3"/>
        <v>5292000</v>
      </c>
    </row>
    <row r="243" spans="1:9" ht="15" customHeight="1" x14ac:dyDescent="0.45">
      <c r="A243" s="5" t="s">
        <v>1214</v>
      </c>
      <c r="B243" s="5" t="s">
        <v>57</v>
      </c>
      <c r="C243" s="5" t="s">
        <v>75</v>
      </c>
      <c r="D243" s="5">
        <v>11</v>
      </c>
      <c r="E243" s="5" t="s">
        <v>29</v>
      </c>
      <c r="F243" s="5" t="s">
        <v>30</v>
      </c>
      <c r="G243" s="7">
        <v>428000</v>
      </c>
      <c r="H243" s="7">
        <v>37000</v>
      </c>
      <c r="I243" s="23">
        <f t="shared" si="3"/>
        <v>444000</v>
      </c>
    </row>
    <row r="244" spans="1:9" ht="15" customHeight="1" x14ac:dyDescent="0.45">
      <c r="A244" s="2" t="s">
        <v>1215</v>
      </c>
      <c r="B244" s="2" t="s">
        <v>57</v>
      </c>
      <c r="C244" s="2" t="s">
        <v>85</v>
      </c>
      <c r="D244" s="2">
        <v>11</v>
      </c>
      <c r="E244" s="2" t="s">
        <v>29</v>
      </c>
      <c r="F244" s="2" t="s">
        <v>30</v>
      </c>
      <c r="G244" s="4">
        <v>673000</v>
      </c>
      <c r="H244" s="4">
        <v>58000</v>
      </c>
      <c r="I244" s="23">
        <f t="shared" si="3"/>
        <v>696000</v>
      </c>
    </row>
    <row r="245" spans="1:9" ht="15" customHeight="1" x14ac:dyDescent="0.45">
      <c r="A245" s="5" t="s">
        <v>1216</v>
      </c>
      <c r="B245" s="5" t="s">
        <v>57</v>
      </c>
      <c r="C245" s="5" t="s">
        <v>63</v>
      </c>
      <c r="D245" s="5">
        <v>11</v>
      </c>
      <c r="E245" s="5" t="s">
        <v>29</v>
      </c>
      <c r="F245" s="5" t="s">
        <v>30</v>
      </c>
      <c r="G245" s="7">
        <v>220000</v>
      </c>
      <c r="H245" s="7">
        <v>19000</v>
      </c>
      <c r="I245" s="23">
        <f t="shared" si="3"/>
        <v>228000</v>
      </c>
    </row>
    <row r="246" spans="1:9" ht="15" customHeight="1" x14ac:dyDescent="0.45">
      <c r="A246" s="2" t="s">
        <v>1217</v>
      </c>
      <c r="B246" s="2" t="s">
        <v>13</v>
      </c>
      <c r="C246" s="2" t="s">
        <v>14</v>
      </c>
      <c r="D246" s="2">
        <v>11</v>
      </c>
      <c r="E246" s="2" t="s">
        <v>29</v>
      </c>
      <c r="F246" s="2" t="s">
        <v>30</v>
      </c>
      <c r="G246" s="4">
        <v>4651000</v>
      </c>
      <c r="H246" s="4">
        <v>399000</v>
      </c>
      <c r="I246" s="23">
        <f t="shared" si="3"/>
        <v>4788000</v>
      </c>
    </row>
    <row r="247" spans="1:9" ht="15" customHeight="1" x14ac:dyDescent="0.45">
      <c r="A247" s="5" t="s">
        <v>1218</v>
      </c>
      <c r="B247" s="5" t="s">
        <v>13</v>
      </c>
      <c r="C247" s="5" t="s">
        <v>102</v>
      </c>
      <c r="D247" s="5">
        <v>11</v>
      </c>
      <c r="E247" s="5" t="s">
        <v>29</v>
      </c>
      <c r="F247" s="5" t="s">
        <v>30</v>
      </c>
      <c r="G247" s="7">
        <v>1836000</v>
      </c>
      <c r="H247" s="7">
        <v>158000</v>
      </c>
      <c r="I247" s="23">
        <f t="shared" si="3"/>
        <v>1896000</v>
      </c>
    </row>
    <row r="248" spans="1:9" ht="15" customHeight="1" x14ac:dyDescent="0.45">
      <c r="A248" s="2" t="s">
        <v>1219</v>
      </c>
      <c r="B248" s="2" t="s">
        <v>13</v>
      </c>
      <c r="C248" s="2" t="s">
        <v>50</v>
      </c>
      <c r="D248" s="2">
        <v>11</v>
      </c>
      <c r="E248" s="2" t="s">
        <v>29</v>
      </c>
      <c r="F248" s="2" t="s">
        <v>30</v>
      </c>
      <c r="G248" s="4">
        <v>857000</v>
      </c>
      <c r="H248" s="4">
        <v>74000</v>
      </c>
      <c r="I248" s="23">
        <f t="shared" si="3"/>
        <v>888000</v>
      </c>
    </row>
    <row r="249" spans="1:9" ht="15" customHeight="1" x14ac:dyDescent="0.45">
      <c r="A249" s="5" t="s">
        <v>1220</v>
      </c>
      <c r="B249" s="5" t="s">
        <v>13</v>
      </c>
      <c r="C249" s="5" t="s">
        <v>63</v>
      </c>
      <c r="D249" s="5">
        <v>11</v>
      </c>
      <c r="E249" s="5" t="s">
        <v>29</v>
      </c>
      <c r="F249" s="5" t="s">
        <v>30</v>
      </c>
      <c r="G249" s="7">
        <v>306000</v>
      </c>
      <c r="H249" s="7">
        <v>26000</v>
      </c>
      <c r="I249" s="23">
        <f t="shared" si="3"/>
        <v>312000</v>
      </c>
    </row>
    <row r="250" spans="1:9" ht="15" customHeight="1" x14ac:dyDescent="0.45">
      <c r="A250" s="2" t="s">
        <v>1221</v>
      </c>
      <c r="B250" s="2" t="s">
        <v>24</v>
      </c>
      <c r="C250" s="2" t="s">
        <v>14</v>
      </c>
      <c r="D250" s="2">
        <v>11</v>
      </c>
      <c r="E250" s="2" t="s">
        <v>29</v>
      </c>
      <c r="F250" s="2" t="s">
        <v>30</v>
      </c>
      <c r="G250" s="4">
        <v>6120000</v>
      </c>
      <c r="H250" s="4">
        <v>525000</v>
      </c>
      <c r="I250" s="23">
        <f t="shared" si="3"/>
        <v>6300000</v>
      </c>
    </row>
    <row r="251" spans="1:9" ht="15" customHeight="1" x14ac:dyDescent="0.45">
      <c r="A251" s="5" t="s">
        <v>1222</v>
      </c>
      <c r="B251" s="5" t="s">
        <v>24</v>
      </c>
      <c r="C251" s="5" t="s">
        <v>36</v>
      </c>
      <c r="D251" s="5">
        <v>11</v>
      </c>
      <c r="E251" s="5" t="s">
        <v>29</v>
      </c>
      <c r="F251" s="5" t="s">
        <v>30</v>
      </c>
      <c r="G251" s="7">
        <v>1102000</v>
      </c>
      <c r="H251" s="7">
        <v>94000</v>
      </c>
      <c r="I251" s="23">
        <f t="shared" si="3"/>
        <v>1128000</v>
      </c>
    </row>
    <row r="252" spans="1:9" ht="15" customHeight="1" x14ac:dyDescent="0.45">
      <c r="A252" s="2" t="s">
        <v>1223</v>
      </c>
      <c r="B252" s="2" t="s">
        <v>24</v>
      </c>
      <c r="C252" s="2" t="s">
        <v>25</v>
      </c>
      <c r="D252" s="2">
        <v>11</v>
      </c>
      <c r="E252" s="2" t="s">
        <v>29</v>
      </c>
      <c r="F252" s="2" t="s">
        <v>30</v>
      </c>
      <c r="G252" s="4">
        <v>979000</v>
      </c>
      <c r="H252" s="4">
        <v>84000</v>
      </c>
      <c r="I252" s="23">
        <f t="shared" si="3"/>
        <v>1008000</v>
      </c>
    </row>
    <row r="253" spans="1:9" ht="15" customHeight="1" x14ac:dyDescent="0.45">
      <c r="A253" s="5" t="s">
        <v>1224</v>
      </c>
      <c r="B253" s="5" t="s">
        <v>24</v>
      </c>
      <c r="C253" s="5" t="s">
        <v>44</v>
      </c>
      <c r="D253" s="5">
        <v>11</v>
      </c>
      <c r="E253" s="5" t="s">
        <v>29</v>
      </c>
      <c r="F253" s="5" t="s">
        <v>30</v>
      </c>
      <c r="G253" s="7">
        <v>1346000</v>
      </c>
      <c r="H253" s="7">
        <v>116000</v>
      </c>
      <c r="I253" s="23">
        <f t="shared" si="3"/>
        <v>1392000</v>
      </c>
    </row>
    <row r="254" spans="1:9" ht="15" customHeight="1" x14ac:dyDescent="0.45">
      <c r="A254" s="2" t="s">
        <v>1225</v>
      </c>
      <c r="B254" s="2" t="s">
        <v>19</v>
      </c>
      <c r="C254" s="2" t="s">
        <v>14</v>
      </c>
      <c r="D254" s="2">
        <v>11</v>
      </c>
      <c r="E254" s="2" t="s">
        <v>29</v>
      </c>
      <c r="F254" s="2" t="s">
        <v>30</v>
      </c>
      <c r="G254" s="4">
        <v>4284000</v>
      </c>
      <c r="H254" s="4">
        <v>368000</v>
      </c>
      <c r="I254" s="23">
        <f t="shared" si="3"/>
        <v>4416000</v>
      </c>
    </row>
    <row r="255" spans="1:9" ht="15" customHeight="1" x14ac:dyDescent="0.45">
      <c r="A255" s="5" t="s">
        <v>1226</v>
      </c>
      <c r="B255" s="5" t="s">
        <v>19</v>
      </c>
      <c r="C255" s="5" t="s">
        <v>53</v>
      </c>
      <c r="D255" s="5">
        <v>11</v>
      </c>
      <c r="E255" s="5" t="s">
        <v>29</v>
      </c>
      <c r="F255" s="5" t="s">
        <v>30</v>
      </c>
      <c r="G255" s="7">
        <v>734000</v>
      </c>
      <c r="H255" s="7">
        <v>63000</v>
      </c>
      <c r="I255" s="23">
        <f t="shared" si="3"/>
        <v>756000</v>
      </c>
    </row>
    <row r="256" spans="1:9" ht="15" customHeight="1" x14ac:dyDescent="0.45">
      <c r="A256" s="2" t="s">
        <v>1227</v>
      </c>
      <c r="B256" s="2" t="s">
        <v>19</v>
      </c>
      <c r="C256" s="2" t="s">
        <v>31</v>
      </c>
      <c r="D256" s="2">
        <v>11</v>
      </c>
      <c r="E256" s="2" t="s">
        <v>29</v>
      </c>
      <c r="F256" s="2" t="s">
        <v>30</v>
      </c>
      <c r="G256" s="4">
        <v>551000</v>
      </c>
      <c r="H256" s="4">
        <v>47000</v>
      </c>
      <c r="I256" s="23">
        <f t="shared" si="3"/>
        <v>564000</v>
      </c>
    </row>
    <row r="257" spans="1:10" ht="15" customHeight="1" x14ac:dyDescent="0.45">
      <c r="A257" s="5" t="s">
        <v>1228</v>
      </c>
      <c r="B257" s="5" t="s">
        <v>19</v>
      </c>
      <c r="C257" s="5" t="s">
        <v>63</v>
      </c>
      <c r="D257" s="5">
        <v>11</v>
      </c>
      <c r="E257" s="5" t="s">
        <v>29</v>
      </c>
      <c r="F257" s="5" t="s">
        <v>30</v>
      </c>
      <c r="G257" s="7">
        <v>245000</v>
      </c>
      <c r="H257" s="7">
        <v>21000</v>
      </c>
      <c r="I257" s="23">
        <f t="shared" si="3"/>
        <v>252000</v>
      </c>
    </row>
    <row r="258" spans="1:10" ht="15" customHeight="1" x14ac:dyDescent="0.45">
      <c r="A258" s="2" t="s">
        <v>1229</v>
      </c>
      <c r="B258" s="2" t="s">
        <v>35</v>
      </c>
      <c r="C258" s="2" t="s">
        <v>14</v>
      </c>
      <c r="D258" s="2">
        <v>11</v>
      </c>
      <c r="E258" s="2" t="s">
        <v>29</v>
      </c>
      <c r="F258" s="2" t="s">
        <v>30</v>
      </c>
      <c r="G258" s="4">
        <v>3550000</v>
      </c>
      <c r="H258" s="4">
        <v>304000</v>
      </c>
      <c r="I258" s="23">
        <f t="shared" si="3"/>
        <v>3648000</v>
      </c>
    </row>
    <row r="259" spans="1:10" ht="15" customHeight="1" x14ac:dyDescent="0.45">
      <c r="A259" s="5" t="s">
        <v>1230</v>
      </c>
      <c r="B259" s="5" t="s">
        <v>35</v>
      </c>
      <c r="C259" s="5" t="s">
        <v>105</v>
      </c>
      <c r="D259" s="5">
        <v>11</v>
      </c>
      <c r="E259" s="5" t="s">
        <v>29</v>
      </c>
      <c r="F259" s="5" t="s">
        <v>30</v>
      </c>
      <c r="G259" s="7">
        <v>490000</v>
      </c>
      <c r="H259" s="7">
        <v>42000</v>
      </c>
      <c r="I259" s="23">
        <f t="shared" ref="I259:I289" si="4">H259*12</f>
        <v>504000</v>
      </c>
    </row>
    <row r="260" spans="1:10" ht="15" customHeight="1" x14ac:dyDescent="0.45">
      <c r="A260" s="2" t="s">
        <v>1231</v>
      </c>
      <c r="B260" s="2" t="s">
        <v>35</v>
      </c>
      <c r="C260" s="2" t="s">
        <v>36</v>
      </c>
      <c r="D260" s="2">
        <v>11</v>
      </c>
      <c r="E260" s="2" t="s">
        <v>29</v>
      </c>
      <c r="F260" s="2" t="s">
        <v>30</v>
      </c>
      <c r="G260" s="4">
        <v>367000</v>
      </c>
      <c r="H260" s="4">
        <v>32000</v>
      </c>
      <c r="I260" s="23">
        <f t="shared" si="4"/>
        <v>384000</v>
      </c>
    </row>
    <row r="261" spans="1:10" ht="15" customHeight="1" x14ac:dyDescent="0.45">
      <c r="A261" s="5" t="s">
        <v>1232</v>
      </c>
      <c r="B261" s="5" t="s">
        <v>35</v>
      </c>
      <c r="C261" s="5" t="s">
        <v>75</v>
      </c>
      <c r="D261" s="5">
        <v>11</v>
      </c>
      <c r="E261" s="5" t="s">
        <v>29</v>
      </c>
      <c r="F261" s="5" t="s">
        <v>30</v>
      </c>
      <c r="G261" s="7">
        <v>184000</v>
      </c>
      <c r="H261" s="7">
        <v>16000</v>
      </c>
      <c r="I261" s="23">
        <f t="shared" si="4"/>
        <v>192000</v>
      </c>
    </row>
    <row r="262" spans="1:10" ht="15" customHeight="1" x14ac:dyDescent="0.45">
      <c r="A262" s="2" t="s">
        <v>1233</v>
      </c>
      <c r="B262" s="2" t="s">
        <v>71</v>
      </c>
      <c r="C262" s="2" t="s">
        <v>14</v>
      </c>
      <c r="D262" s="2">
        <v>11</v>
      </c>
      <c r="E262" s="2" t="s">
        <v>29</v>
      </c>
      <c r="F262" s="2" t="s">
        <v>30</v>
      </c>
      <c r="G262" s="4">
        <v>5018000</v>
      </c>
      <c r="H262" s="4">
        <v>430000</v>
      </c>
      <c r="I262" s="23">
        <f t="shared" si="4"/>
        <v>5160000</v>
      </c>
    </row>
    <row r="263" spans="1:10" ht="15" customHeight="1" x14ac:dyDescent="0.45">
      <c r="A263" s="5" t="s">
        <v>1234</v>
      </c>
      <c r="B263" s="5" t="s">
        <v>71</v>
      </c>
      <c r="C263" s="5" t="s">
        <v>88</v>
      </c>
      <c r="D263" s="5">
        <v>11</v>
      </c>
      <c r="E263" s="5" t="s">
        <v>29</v>
      </c>
      <c r="F263" s="5" t="s">
        <v>30</v>
      </c>
      <c r="G263" s="7">
        <v>2448000</v>
      </c>
      <c r="H263" s="7">
        <v>210000</v>
      </c>
      <c r="I263" s="23">
        <f t="shared" si="4"/>
        <v>2520000</v>
      </c>
    </row>
    <row r="264" spans="1:10" ht="15" customHeight="1" x14ac:dyDescent="0.45">
      <c r="A264" s="2" t="s">
        <v>1235</v>
      </c>
      <c r="B264" s="2" t="s">
        <v>71</v>
      </c>
      <c r="C264" s="2" t="s">
        <v>63</v>
      </c>
      <c r="D264" s="2">
        <v>11</v>
      </c>
      <c r="E264" s="2" t="s">
        <v>29</v>
      </c>
      <c r="F264" s="2" t="s">
        <v>30</v>
      </c>
      <c r="G264" s="4">
        <v>673000</v>
      </c>
      <c r="H264" s="4">
        <v>58000</v>
      </c>
      <c r="I264" s="23">
        <f t="shared" si="4"/>
        <v>696000</v>
      </c>
    </row>
    <row r="265" spans="1:10" ht="15" customHeight="1" x14ac:dyDescent="0.45">
      <c r="A265" s="5" t="s">
        <v>1236</v>
      </c>
      <c r="B265" s="5" t="s">
        <v>71</v>
      </c>
      <c r="C265" s="5" t="s">
        <v>94</v>
      </c>
      <c r="D265" s="5">
        <v>11</v>
      </c>
      <c r="E265" s="5" t="s">
        <v>29</v>
      </c>
      <c r="F265" s="5" t="s">
        <v>30</v>
      </c>
      <c r="G265" s="7">
        <v>367000</v>
      </c>
      <c r="H265" s="7">
        <v>32000</v>
      </c>
      <c r="I265" s="23">
        <f t="shared" si="4"/>
        <v>384000</v>
      </c>
    </row>
    <row r="266" spans="1:10" ht="15" customHeight="1" x14ac:dyDescent="0.45">
      <c r="A266" s="2" t="s">
        <v>1237</v>
      </c>
      <c r="B266" s="2" t="s">
        <v>57</v>
      </c>
      <c r="C266" s="2" t="s">
        <v>14</v>
      </c>
      <c r="D266" s="2">
        <v>12</v>
      </c>
      <c r="E266" s="2" t="s">
        <v>34</v>
      </c>
      <c r="F266" s="2" t="s">
        <v>30</v>
      </c>
      <c r="G266" s="4">
        <v>5141000</v>
      </c>
      <c r="H266" s="4">
        <v>504000</v>
      </c>
      <c r="I266" s="23">
        <f t="shared" si="4"/>
        <v>6048000</v>
      </c>
    </row>
    <row r="267" spans="1:10" ht="15" customHeight="1" x14ac:dyDescent="0.45">
      <c r="A267" s="5" t="s">
        <v>1238</v>
      </c>
      <c r="B267" s="5" t="s">
        <v>57</v>
      </c>
      <c r="C267" s="5" t="s">
        <v>75</v>
      </c>
      <c r="D267" s="5">
        <v>12</v>
      </c>
      <c r="E267" s="5" t="s">
        <v>34</v>
      </c>
      <c r="F267" s="5" t="s">
        <v>30</v>
      </c>
      <c r="G267" s="7">
        <v>428000</v>
      </c>
      <c r="H267" s="7">
        <v>42000</v>
      </c>
      <c r="I267" s="23">
        <f t="shared" si="4"/>
        <v>504000</v>
      </c>
    </row>
    <row r="268" spans="1:10" ht="15" customHeight="1" x14ac:dyDescent="0.45">
      <c r="A268" s="2" t="s">
        <v>1239</v>
      </c>
      <c r="B268" s="2" t="s">
        <v>57</v>
      </c>
      <c r="C268" s="2" t="s">
        <v>85</v>
      </c>
      <c r="D268" s="2">
        <v>12</v>
      </c>
      <c r="E268" s="2" t="s">
        <v>34</v>
      </c>
      <c r="F268" s="2" t="s">
        <v>30</v>
      </c>
      <c r="G268" s="4">
        <v>673000</v>
      </c>
      <c r="H268" s="4">
        <v>66000</v>
      </c>
      <c r="I268" s="23">
        <f t="shared" si="4"/>
        <v>792000</v>
      </c>
    </row>
    <row r="269" spans="1:10" ht="15" customHeight="1" x14ac:dyDescent="0.45">
      <c r="A269" s="5" t="s">
        <v>1240</v>
      </c>
      <c r="B269" s="5" t="s">
        <v>57</v>
      </c>
      <c r="C269" s="5" t="s">
        <v>63</v>
      </c>
      <c r="D269" s="5">
        <v>12</v>
      </c>
      <c r="E269" s="5" t="s">
        <v>34</v>
      </c>
      <c r="F269" s="5" t="s">
        <v>30</v>
      </c>
      <c r="G269" s="7">
        <v>220000</v>
      </c>
      <c r="H269" s="7">
        <v>22000</v>
      </c>
      <c r="I269" s="23">
        <f t="shared" si="4"/>
        <v>264000</v>
      </c>
    </row>
    <row r="270" spans="1:10" ht="15" customHeight="1" x14ac:dyDescent="0.45">
      <c r="A270" s="2" t="s">
        <v>1241</v>
      </c>
      <c r="B270" s="2" t="s">
        <v>13</v>
      </c>
      <c r="C270" s="2" t="s">
        <v>14</v>
      </c>
      <c r="D270" s="2">
        <v>12</v>
      </c>
      <c r="E270" s="2" t="s">
        <v>34</v>
      </c>
      <c r="F270" s="2" t="s">
        <v>30</v>
      </c>
      <c r="G270" s="4">
        <v>4651000</v>
      </c>
      <c r="H270" s="4">
        <v>456000</v>
      </c>
      <c r="I270" s="23">
        <f t="shared" si="4"/>
        <v>5472000</v>
      </c>
    </row>
    <row r="271" spans="1:10" ht="15" customHeight="1" x14ac:dyDescent="0.45">
      <c r="A271" s="5" t="s">
        <v>1242</v>
      </c>
      <c r="B271" s="5" t="s">
        <v>13</v>
      </c>
      <c r="C271" s="5" t="s">
        <v>102</v>
      </c>
      <c r="D271" s="5">
        <v>12</v>
      </c>
      <c r="E271" s="5" t="s">
        <v>34</v>
      </c>
      <c r="F271" s="5" t="s">
        <v>30</v>
      </c>
      <c r="G271" s="7">
        <v>1836000</v>
      </c>
      <c r="H271" s="7">
        <v>180000</v>
      </c>
      <c r="I271" s="23">
        <f t="shared" si="4"/>
        <v>2160000</v>
      </c>
      <c r="J271" s="23"/>
    </row>
    <row r="272" spans="1:10" ht="15" customHeight="1" x14ac:dyDescent="0.45">
      <c r="A272" s="2" t="s">
        <v>1243</v>
      </c>
      <c r="B272" s="2" t="s">
        <v>13</v>
      </c>
      <c r="C272" s="2" t="s">
        <v>50</v>
      </c>
      <c r="D272" s="2">
        <v>12</v>
      </c>
      <c r="E272" s="2" t="s">
        <v>34</v>
      </c>
      <c r="F272" s="2" t="s">
        <v>30</v>
      </c>
      <c r="G272" s="4">
        <v>857000</v>
      </c>
      <c r="H272" s="4">
        <v>84000</v>
      </c>
      <c r="I272" s="23">
        <f t="shared" si="4"/>
        <v>1008000</v>
      </c>
      <c r="J272" s="23"/>
    </row>
    <row r="273" spans="1:10" ht="15" customHeight="1" x14ac:dyDescent="0.45">
      <c r="A273" s="5" t="s">
        <v>1244</v>
      </c>
      <c r="B273" s="5" t="s">
        <v>13</v>
      </c>
      <c r="C273" s="5" t="s">
        <v>63</v>
      </c>
      <c r="D273" s="5">
        <v>12</v>
      </c>
      <c r="E273" s="5" t="s">
        <v>34</v>
      </c>
      <c r="F273" s="5" t="s">
        <v>30</v>
      </c>
      <c r="G273" s="7">
        <v>306000</v>
      </c>
      <c r="H273" s="7">
        <v>30000</v>
      </c>
      <c r="I273" s="23">
        <f t="shared" si="4"/>
        <v>360000</v>
      </c>
      <c r="J273" s="23"/>
    </row>
    <row r="274" spans="1:10" ht="15" customHeight="1" x14ac:dyDescent="0.45">
      <c r="A274" s="2" t="s">
        <v>1245</v>
      </c>
      <c r="B274" s="2" t="s">
        <v>24</v>
      </c>
      <c r="C274" s="2" t="s">
        <v>14</v>
      </c>
      <c r="D274" s="2">
        <v>12</v>
      </c>
      <c r="E274" s="2" t="s">
        <v>34</v>
      </c>
      <c r="F274" s="2" t="s">
        <v>30</v>
      </c>
      <c r="G274" s="4">
        <v>6120000</v>
      </c>
      <c r="H274" s="4">
        <v>600000</v>
      </c>
      <c r="I274" s="23">
        <f t="shared" si="4"/>
        <v>7200000</v>
      </c>
      <c r="J274" s="23"/>
    </row>
    <row r="275" spans="1:10" ht="15" customHeight="1" x14ac:dyDescent="0.45">
      <c r="A275" s="5" t="s">
        <v>1246</v>
      </c>
      <c r="B275" s="5" t="s">
        <v>24</v>
      </c>
      <c r="C275" s="5" t="s">
        <v>36</v>
      </c>
      <c r="D275" s="5">
        <v>12</v>
      </c>
      <c r="E275" s="5" t="s">
        <v>34</v>
      </c>
      <c r="F275" s="5" t="s">
        <v>30</v>
      </c>
      <c r="G275" s="7">
        <v>1102000</v>
      </c>
      <c r="H275" s="7">
        <v>108000</v>
      </c>
      <c r="I275" s="23">
        <f t="shared" si="4"/>
        <v>1296000</v>
      </c>
      <c r="J275" s="23"/>
    </row>
    <row r="276" spans="1:10" ht="15" customHeight="1" x14ac:dyDescent="0.45">
      <c r="A276" s="2" t="s">
        <v>1247</v>
      </c>
      <c r="B276" s="2" t="s">
        <v>24</v>
      </c>
      <c r="C276" s="2" t="s">
        <v>25</v>
      </c>
      <c r="D276" s="2">
        <v>12</v>
      </c>
      <c r="E276" s="2" t="s">
        <v>34</v>
      </c>
      <c r="F276" s="2" t="s">
        <v>30</v>
      </c>
      <c r="G276" s="4">
        <v>979000</v>
      </c>
      <c r="H276" s="4">
        <v>96000</v>
      </c>
      <c r="I276" s="23">
        <f t="shared" si="4"/>
        <v>1152000</v>
      </c>
      <c r="J276" s="23"/>
    </row>
    <row r="277" spans="1:10" ht="15" customHeight="1" x14ac:dyDescent="0.45">
      <c r="A277" s="5" t="s">
        <v>1248</v>
      </c>
      <c r="B277" s="5" t="s">
        <v>24</v>
      </c>
      <c r="C277" s="5" t="s">
        <v>44</v>
      </c>
      <c r="D277" s="5">
        <v>12</v>
      </c>
      <c r="E277" s="5" t="s">
        <v>34</v>
      </c>
      <c r="F277" s="5" t="s">
        <v>30</v>
      </c>
      <c r="G277" s="7">
        <v>1346000</v>
      </c>
      <c r="H277" s="7">
        <v>132000</v>
      </c>
      <c r="I277" s="23">
        <f t="shared" si="4"/>
        <v>1584000</v>
      </c>
      <c r="J277" s="23"/>
    </row>
    <row r="278" spans="1:10" ht="15" customHeight="1" x14ac:dyDescent="0.45">
      <c r="A278" s="2" t="s">
        <v>1249</v>
      </c>
      <c r="B278" s="2" t="s">
        <v>19</v>
      </c>
      <c r="C278" s="2" t="s">
        <v>14</v>
      </c>
      <c r="D278" s="2">
        <v>12</v>
      </c>
      <c r="E278" s="2" t="s">
        <v>34</v>
      </c>
      <c r="F278" s="2" t="s">
        <v>30</v>
      </c>
      <c r="G278" s="4">
        <v>4284000</v>
      </c>
      <c r="H278" s="4">
        <v>420000</v>
      </c>
      <c r="I278" s="23">
        <f t="shared" si="4"/>
        <v>5040000</v>
      </c>
      <c r="J278" s="23"/>
    </row>
    <row r="279" spans="1:10" ht="15" customHeight="1" x14ac:dyDescent="0.45">
      <c r="A279" s="5" t="s">
        <v>1250</v>
      </c>
      <c r="B279" s="5" t="s">
        <v>19</v>
      </c>
      <c r="C279" s="5" t="s">
        <v>53</v>
      </c>
      <c r="D279" s="5">
        <v>12</v>
      </c>
      <c r="E279" s="5" t="s">
        <v>34</v>
      </c>
      <c r="F279" s="5" t="s">
        <v>30</v>
      </c>
      <c r="G279" s="7">
        <v>734000</v>
      </c>
      <c r="H279" s="7">
        <v>72000</v>
      </c>
      <c r="I279" s="23">
        <f t="shared" si="4"/>
        <v>864000</v>
      </c>
      <c r="J279" s="23"/>
    </row>
    <row r="280" spans="1:10" ht="15" customHeight="1" x14ac:dyDescent="0.45">
      <c r="A280" s="2" t="s">
        <v>1251</v>
      </c>
      <c r="B280" s="2" t="s">
        <v>19</v>
      </c>
      <c r="C280" s="2" t="s">
        <v>31</v>
      </c>
      <c r="D280" s="2">
        <v>12</v>
      </c>
      <c r="E280" s="2" t="s">
        <v>34</v>
      </c>
      <c r="F280" s="2" t="s">
        <v>30</v>
      </c>
      <c r="G280" s="4">
        <v>551000</v>
      </c>
      <c r="H280" s="4">
        <v>54000</v>
      </c>
      <c r="I280" s="23">
        <f t="shared" si="4"/>
        <v>648000</v>
      </c>
      <c r="J280" s="23"/>
    </row>
    <row r="281" spans="1:10" ht="15" customHeight="1" x14ac:dyDescent="0.45">
      <c r="A281" s="5" t="s">
        <v>1252</v>
      </c>
      <c r="B281" s="5" t="s">
        <v>19</v>
      </c>
      <c r="C281" s="5" t="s">
        <v>63</v>
      </c>
      <c r="D281" s="5">
        <v>12</v>
      </c>
      <c r="E281" s="5" t="s">
        <v>34</v>
      </c>
      <c r="F281" s="5" t="s">
        <v>30</v>
      </c>
      <c r="G281" s="7">
        <v>245000</v>
      </c>
      <c r="H281" s="7">
        <v>24000</v>
      </c>
      <c r="I281" s="23">
        <f t="shared" si="4"/>
        <v>288000</v>
      </c>
      <c r="J281" s="23"/>
    </row>
    <row r="282" spans="1:10" ht="15" customHeight="1" x14ac:dyDescent="0.45">
      <c r="A282" s="2" t="s">
        <v>1253</v>
      </c>
      <c r="B282" s="2" t="s">
        <v>35</v>
      </c>
      <c r="C282" s="2" t="s">
        <v>14</v>
      </c>
      <c r="D282" s="2">
        <v>12</v>
      </c>
      <c r="E282" s="2" t="s">
        <v>34</v>
      </c>
      <c r="F282" s="2" t="s">
        <v>30</v>
      </c>
      <c r="G282" s="4">
        <v>3550000</v>
      </c>
      <c r="H282" s="4">
        <v>348000</v>
      </c>
      <c r="I282" s="23">
        <f t="shared" si="4"/>
        <v>4176000</v>
      </c>
      <c r="J282" s="23"/>
    </row>
    <row r="283" spans="1:10" ht="15" customHeight="1" x14ac:dyDescent="0.45">
      <c r="A283" s="5" t="s">
        <v>1254</v>
      </c>
      <c r="B283" s="5" t="s">
        <v>35</v>
      </c>
      <c r="C283" s="5" t="s">
        <v>105</v>
      </c>
      <c r="D283" s="5">
        <v>12</v>
      </c>
      <c r="E283" s="5" t="s">
        <v>34</v>
      </c>
      <c r="F283" s="5" t="s">
        <v>30</v>
      </c>
      <c r="G283" s="7">
        <v>490000</v>
      </c>
      <c r="H283" s="7">
        <v>48000</v>
      </c>
      <c r="I283" s="23">
        <f t="shared" si="4"/>
        <v>576000</v>
      </c>
      <c r="J283" s="23"/>
    </row>
    <row r="284" spans="1:10" ht="15" customHeight="1" x14ac:dyDescent="0.45">
      <c r="A284" s="2" t="s">
        <v>1255</v>
      </c>
      <c r="B284" s="2" t="s">
        <v>35</v>
      </c>
      <c r="C284" s="2" t="s">
        <v>36</v>
      </c>
      <c r="D284" s="2">
        <v>12</v>
      </c>
      <c r="E284" s="2" t="s">
        <v>34</v>
      </c>
      <c r="F284" s="2" t="s">
        <v>30</v>
      </c>
      <c r="G284" s="4">
        <v>367000</v>
      </c>
      <c r="H284" s="4">
        <v>36000</v>
      </c>
      <c r="I284" s="23">
        <f t="shared" si="4"/>
        <v>432000</v>
      </c>
      <c r="J284" s="23"/>
    </row>
    <row r="285" spans="1:10" ht="15" customHeight="1" x14ac:dyDescent="0.45">
      <c r="A285" s="5" t="s">
        <v>1256</v>
      </c>
      <c r="B285" s="5" t="s">
        <v>35</v>
      </c>
      <c r="C285" s="5" t="s">
        <v>75</v>
      </c>
      <c r="D285" s="5">
        <v>12</v>
      </c>
      <c r="E285" s="5" t="s">
        <v>34</v>
      </c>
      <c r="F285" s="5" t="s">
        <v>30</v>
      </c>
      <c r="G285" s="7">
        <v>184000</v>
      </c>
      <c r="H285" s="7">
        <v>18000</v>
      </c>
      <c r="I285" s="23">
        <f t="shared" si="4"/>
        <v>216000</v>
      </c>
      <c r="J285" s="23"/>
    </row>
    <row r="286" spans="1:10" ht="15" customHeight="1" x14ac:dyDescent="0.45">
      <c r="A286" s="2" t="s">
        <v>1257</v>
      </c>
      <c r="B286" s="2" t="s">
        <v>71</v>
      </c>
      <c r="C286" s="2" t="s">
        <v>14</v>
      </c>
      <c r="D286" s="2">
        <v>12</v>
      </c>
      <c r="E286" s="2" t="s">
        <v>34</v>
      </c>
      <c r="F286" s="2" t="s">
        <v>30</v>
      </c>
      <c r="G286" s="4">
        <v>5018000</v>
      </c>
      <c r="H286" s="4">
        <v>492000</v>
      </c>
      <c r="I286" s="23">
        <f t="shared" si="4"/>
        <v>5904000</v>
      </c>
      <c r="J286" s="23"/>
    </row>
    <row r="287" spans="1:10" ht="15" customHeight="1" x14ac:dyDescent="0.45">
      <c r="A287" s="5" t="s">
        <v>1258</v>
      </c>
      <c r="B287" s="5" t="s">
        <v>71</v>
      </c>
      <c r="C287" s="5" t="s">
        <v>88</v>
      </c>
      <c r="D287" s="5">
        <v>12</v>
      </c>
      <c r="E287" s="5" t="s">
        <v>34</v>
      </c>
      <c r="F287" s="5" t="s">
        <v>30</v>
      </c>
      <c r="G287" s="7">
        <v>2448000</v>
      </c>
      <c r="H287" s="7">
        <v>240000</v>
      </c>
      <c r="I287" s="23">
        <f t="shared" si="4"/>
        <v>2880000</v>
      </c>
      <c r="J287" s="23"/>
    </row>
    <row r="288" spans="1:10" ht="15" customHeight="1" x14ac:dyDescent="0.45">
      <c r="A288" s="2" t="s">
        <v>1259</v>
      </c>
      <c r="B288" s="2" t="s">
        <v>71</v>
      </c>
      <c r="C288" s="2" t="s">
        <v>63</v>
      </c>
      <c r="D288" s="2">
        <v>12</v>
      </c>
      <c r="E288" s="2" t="s">
        <v>34</v>
      </c>
      <c r="F288" s="2" t="s">
        <v>30</v>
      </c>
      <c r="G288" s="4">
        <v>673000</v>
      </c>
      <c r="H288" s="4">
        <v>66000</v>
      </c>
      <c r="I288" s="23">
        <f t="shared" si="4"/>
        <v>792000</v>
      </c>
      <c r="J288" s="23"/>
    </row>
    <row r="289" spans="1:10" ht="15" customHeight="1" x14ac:dyDescent="0.45">
      <c r="A289" s="5" t="s">
        <v>1260</v>
      </c>
      <c r="B289" s="5" t="s">
        <v>71</v>
      </c>
      <c r="C289" s="5" t="s">
        <v>94</v>
      </c>
      <c r="D289" s="5">
        <v>12</v>
      </c>
      <c r="E289" s="5" t="s">
        <v>34</v>
      </c>
      <c r="F289" s="5" t="s">
        <v>30</v>
      </c>
      <c r="G289" s="7">
        <v>367000</v>
      </c>
      <c r="H289" s="7">
        <v>36000</v>
      </c>
      <c r="I289" s="23">
        <f t="shared" si="4"/>
        <v>432000</v>
      </c>
      <c r="J289" s="23"/>
    </row>
    <row r="290" spans="1:10" x14ac:dyDescent="0.45">
      <c r="J290" s="23"/>
    </row>
    <row r="291" spans="1:10" x14ac:dyDescent="0.45">
      <c r="J291" s="23"/>
    </row>
    <row r="292" spans="1:10" x14ac:dyDescent="0.45">
      <c r="J292" s="23"/>
    </row>
    <row r="293" spans="1:10" x14ac:dyDescent="0.45">
      <c r="J293" s="23"/>
    </row>
    <row r="294" spans="1:10" x14ac:dyDescent="0.45">
      <c r="J294" s="23"/>
    </row>
    <row r="295" spans="1:10" x14ac:dyDescent="0.45">
      <c r="J295" s="23"/>
    </row>
    <row r="296" spans="1:10" x14ac:dyDescent="0.45">
      <c r="J296" s="23"/>
    </row>
    <row r="297" spans="1:10" x14ac:dyDescent="0.45">
      <c r="J297" s="23"/>
    </row>
    <row r="298" spans="1:10" x14ac:dyDescent="0.45">
      <c r="J298" s="23"/>
    </row>
    <row r="299" spans="1:10" x14ac:dyDescent="0.45">
      <c r="J299" s="23"/>
    </row>
    <row r="300" spans="1:10" x14ac:dyDescent="0.45">
      <c r="J300" s="23"/>
    </row>
    <row r="301" spans="1:10" x14ac:dyDescent="0.45">
      <c r="J301" s="23"/>
    </row>
    <row r="302" spans="1:10" x14ac:dyDescent="0.45">
      <c r="J302" s="23"/>
    </row>
    <row r="303" spans="1:10" x14ac:dyDescent="0.45">
      <c r="J303" s="23"/>
    </row>
    <row r="304" spans="1:10" x14ac:dyDescent="0.45">
      <c r="J304" s="23"/>
    </row>
    <row r="305" spans="10:10" x14ac:dyDescent="0.45">
      <c r="J305" s="23"/>
    </row>
    <row r="306" spans="10:10" x14ac:dyDescent="0.45">
      <c r="J306" s="23"/>
    </row>
    <row r="307" spans="10:10" x14ac:dyDescent="0.45">
      <c r="J307" s="23"/>
    </row>
    <row r="308" spans="10:10" x14ac:dyDescent="0.45">
      <c r="J308" s="23"/>
    </row>
    <row r="309" spans="10:10" x14ac:dyDescent="0.45">
      <c r="J309" s="23"/>
    </row>
    <row r="310" spans="10:10" x14ac:dyDescent="0.45">
      <c r="J310" s="23"/>
    </row>
    <row r="311" spans="10:10" x14ac:dyDescent="0.45">
      <c r="J311" s="23"/>
    </row>
    <row r="312" spans="10:10" x14ac:dyDescent="0.45">
      <c r="J312" s="23"/>
    </row>
    <row r="313" spans="10:10" x14ac:dyDescent="0.45">
      <c r="J313" s="23"/>
    </row>
    <row r="314" spans="10:10" x14ac:dyDescent="0.45">
      <c r="J314" s="23"/>
    </row>
    <row r="315" spans="10:10" x14ac:dyDescent="0.45">
      <c r="J315" s="23"/>
    </row>
    <row r="316" spans="10:10" x14ac:dyDescent="0.45">
      <c r="J316" s="23"/>
    </row>
    <row r="317" spans="10:10" x14ac:dyDescent="0.45">
      <c r="J317" s="23"/>
    </row>
    <row r="318" spans="10:10" x14ac:dyDescent="0.45">
      <c r="J318" s="23"/>
    </row>
    <row r="319" spans="10:10" x14ac:dyDescent="0.45">
      <c r="J319" s="23"/>
    </row>
    <row r="320" spans="10:10" x14ac:dyDescent="0.45">
      <c r="J320" s="23"/>
    </row>
    <row r="321" spans="10:10" x14ac:dyDescent="0.45">
      <c r="J321" s="23"/>
    </row>
    <row r="322" spans="10:10" x14ac:dyDescent="0.45">
      <c r="J322" s="23"/>
    </row>
    <row r="323" spans="10:10" x14ac:dyDescent="0.45">
      <c r="J323" s="23"/>
    </row>
    <row r="324" spans="10:10" x14ac:dyDescent="0.45">
      <c r="J324" s="23"/>
    </row>
    <row r="325" spans="10:10" x14ac:dyDescent="0.45">
      <c r="J325" s="23"/>
    </row>
    <row r="326" spans="10:10" x14ac:dyDescent="0.45">
      <c r="J326" s="23"/>
    </row>
    <row r="327" spans="10:10" x14ac:dyDescent="0.45">
      <c r="J327" s="23"/>
    </row>
    <row r="328" spans="10:10" x14ac:dyDescent="0.45">
      <c r="J328" s="23"/>
    </row>
    <row r="329" spans="10:10" x14ac:dyDescent="0.45">
      <c r="J329" s="23"/>
    </row>
    <row r="330" spans="10:10" x14ac:dyDescent="0.45">
      <c r="J330" s="23"/>
    </row>
    <row r="331" spans="10:10" x14ac:dyDescent="0.45">
      <c r="J331" s="23"/>
    </row>
    <row r="332" spans="10:10" x14ac:dyDescent="0.45">
      <c r="J332" s="23"/>
    </row>
    <row r="333" spans="10:10" x14ac:dyDescent="0.45">
      <c r="J333" s="23"/>
    </row>
    <row r="334" spans="10:10" x14ac:dyDescent="0.45">
      <c r="J334" s="23"/>
    </row>
    <row r="335" spans="10:10" x14ac:dyDescent="0.45">
      <c r="J335" s="23"/>
    </row>
    <row r="336" spans="10:10" x14ac:dyDescent="0.45">
      <c r="J336" s="23"/>
    </row>
    <row r="337" spans="10:10" x14ac:dyDescent="0.45">
      <c r="J337" s="23"/>
    </row>
    <row r="338" spans="10:10" x14ac:dyDescent="0.45">
      <c r="J338" s="23"/>
    </row>
    <row r="339" spans="10:10" x14ac:dyDescent="0.45">
      <c r="J339" s="23"/>
    </row>
    <row r="340" spans="10:10" x14ac:dyDescent="0.45">
      <c r="J340" s="23"/>
    </row>
    <row r="341" spans="10:10" x14ac:dyDescent="0.45">
      <c r="J341" s="23"/>
    </row>
    <row r="342" spans="10:10" x14ac:dyDescent="0.45">
      <c r="J342" s="23"/>
    </row>
    <row r="343" spans="10:10" x14ac:dyDescent="0.45">
      <c r="J343" s="23"/>
    </row>
    <row r="344" spans="10:10" x14ac:dyDescent="0.45">
      <c r="J344" s="23"/>
    </row>
    <row r="345" spans="10:10" x14ac:dyDescent="0.45">
      <c r="J345" s="23"/>
    </row>
    <row r="346" spans="10:10" x14ac:dyDescent="0.45">
      <c r="J346" s="23"/>
    </row>
    <row r="347" spans="10:10" x14ac:dyDescent="0.45">
      <c r="J347" s="23"/>
    </row>
    <row r="348" spans="10:10" x14ac:dyDescent="0.45">
      <c r="J348" s="23"/>
    </row>
    <row r="349" spans="10:10" x14ac:dyDescent="0.45">
      <c r="J349" s="23"/>
    </row>
    <row r="350" spans="10:10" x14ac:dyDescent="0.45">
      <c r="J350" s="23"/>
    </row>
    <row r="351" spans="10:10" x14ac:dyDescent="0.45">
      <c r="J351" s="23"/>
    </row>
    <row r="352" spans="10:10" x14ac:dyDescent="0.45">
      <c r="J352" s="23"/>
    </row>
    <row r="353" spans="10:10" x14ac:dyDescent="0.45">
      <c r="J353" s="23"/>
    </row>
    <row r="354" spans="10:10" x14ac:dyDescent="0.45">
      <c r="J354" s="23"/>
    </row>
    <row r="355" spans="10:10" x14ac:dyDescent="0.45">
      <c r="J355" s="23"/>
    </row>
    <row r="356" spans="10:10" x14ac:dyDescent="0.45">
      <c r="J356" s="23"/>
    </row>
    <row r="357" spans="10:10" x14ac:dyDescent="0.45">
      <c r="J357" s="23"/>
    </row>
    <row r="358" spans="10:10" x14ac:dyDescent="0.45">
      <c r="J358" s="23"/>
    </row>
    <row r="359" spans="10:10" x14ac:dyDescent="0.45">
      <c r="J359" s="23"/>
    </row>
    <row r="360" spans="10:10" x14ac:dyDescent="0.45">
      <c r="J360" s="23"/>
    </row>
    <row r="361" spans="10:10" x14ac:dyDescent="0.45">
      <c r="J361" s="23"/>
    </row>
    <row r="362" spans="10:10" x14ac:dyDescent="0.45">
      <c r="J362" s="23"/>
    </row>
    <row r="363" spans="10:10" x14ac:dyDescent="0.45">
      <c r="J363" s="23"/>
    </row>
    <row r="364" spans="10:10" x14ac:dyDescent="0.45">
      <c r="J364" s="23"/>
    </row>
    <row r="365" spans="10:10" x14ac:dyDescent="0.45">
      <c r="J365" s="23"/>
    </row>
    <row r="366" spans="10:10" x14ac:dyDescent="0.45">
      <c r="J366" s="23"/>
    </row>
    <row r="367" spans="10:10" x14ac:dyDescent="0.45">
      <c r="J367" s="23"/>
    </row>
    <row r="368" spans="10:10" x14ac:dyDescent="0.45">
      <c r="J368" s="23"/>
    </row>
    <row r="369" spans="10:10" x14ac:dyDescent="0.45">
      <c r="J369" s="23"/>
    </row>
    <row r="370" spans="10:10" x14ac:dyDescent="0.45">
      <c r="J370" s="23"/>
    </row>
    <row r="371" spans="10:10" x14ac:dyDescent="0.45">
      <c r="J371" s="23"/>
    </row>
    <row r="372" spans="10:10" x14ac:dyDescent="0.45">
      <c r="J372" s="23"/>
    </row>
    <row r="373" spans="10:10" x14ac:dyDescent="0.45">
      <c r="J373" s="23"/>
    </row>
    <row r="374" spans="10:10" x14ac:dyDescent="0.45">
      <c r="J374" s="23"/>
    </row>
    <row r="375" spans="10:10" x14ac:dyDescent="0.45">
      <c r="J375" s="23"/>
    </row>
    <row r="376" spans="10:10" x14ac:dyDescent="0.45">
      <c r="J376" s="23"/>
    </row>
    <row r="377" spans="10:10" x14ac:dyDescent="0.45">
      <c r="J377" s="23"/>
    </row>
    <row r="378" spans="10:10" x14ac:dyDescent="0.45">
      <c r="J378" s="23"/>
    </row>
    <row r="379" spans="10:10" x14ac:dyDescent="0.45">
      <c r="J379" s="23"/>
    </row>
    <row r="380" spans="10:10" x14ac:dyDescent="0.45">
      <c r="J380" s="23"/>
    </row>
    <row r="381" spans="10:10" x14ac:dyDescent="0.45">
      <c r="J381" s="23"/>
    </row>
    <row r="382" spans="10:10" x14ac:dyDescent="0.45">
      <c r="J382" s="23"/>
    </row>
    <row r="383" spans="10:10" x14ac:dyDescent="0.45">
      <c r="J383" s="23"/>
    </row>
    <row r="384" spans="10:10" x14ac:dyDescent="0.45">
      <c r="J384" s="23"/>
    </row>
    <row r="385" spans="10:10" x14ac:dyDescent="0.45">
      <c r="J385" s="23"/>
    </row>
    <row r="386" spans="10:10" x14ac:dyDescent="0.45">
      <c r="J386" s="23"/>
    </row>
    <row r="387" spans="10:10" x14ac:dyDescent="0.45">
      <c r="J387" s="23"/>
    </row>
    <row r="388" spans="10:10" x14ac:dyDescent="0.45">
      <c r="J388" s="23"/>
    </row>
    <row r="389" spans="10:10" x14ac:dyDescent="0.45">
      <c r="J389" s="23"/>
    </row>
    <row r="390" spans="10:10" x14ac:dyDescent="0.45">
      <c r="J390" s="23"/>
    </row>
    <row r="391" spans="10:10" x14ac:dyDescent="0.45">
      <c r="J391" s="23"/>
    </row>
    <row r="392" spans="10:10" x14ac:dyDescent="0.45">
      <c r="J392" s="23"/>
    </row>
    <row r="393" spans="10:10" x14ac:dyDescent="0.45">
      <c r="J393" s="23"/>
    </row>
    <row r="394" spans="10:10" x14ac:dyDescent="0.45">
      <c r="J394" s="23"/>
    </row>
    <row r="395" spans="10:10" x14ac:dyDescent="0.45">
      <c r="J395" s="23"/>
    </row>
    <row r="396" spans="10:10" x14ac:dyDescent="0.45">
      <c r="J396" s="23"/>
    </row>
    <row r="397" spans="10:10" x14ac:dyDescent="0.45">
      <c r="J397" s="23"/>
    </row>
    <row r="398" spans="10:10" x14ac:dyDescent="0.45">
      <c r="J398" s="23"/>
    </row>
    <row r="399" spans="10:10" x14ac:dyDescent="0.45">
      <c r="J399" s="23"/>
    </row>
    <row r="400" spans="10:10" x14ac:dyDescent="0.45">
      <c r="J400" s="23"/>
    </row>
    <row r="401" spans="10:10" x14ac:dyDescent="0.45">
      <c r="J401" s="23"/>
    </row>
    <row r="402" spans="10:10" x14ac:dyDescent="0.45">
      <c r="J402" s="23"/>
    </row>
    <row r="403" spans="10:10" x14ac:dyDescent="0.45">
      <c r="J403" s="23"/>
    </row>
    <row r="404" spans="10:10" x14ac:dyDescent="0.45">
      <c r="J404" s="23"/>
    </row>
    <row r="405" spans="10:10" x14ac:dyDescent="0.45">
      <c r="J405" s="23"/>
    </row>
    <row r="406" spans="10:10" x14ac:dyDescent="0.45">
      <c r="J406" s="23"/>
    </row>
    <row r="407" spans="10:10" x14ac:dyDescent="0.45">
      <c r="J407" s="23"/>
    </row>
    <row r="408" spans="10:10" x14ac:dyDescent="0.45">
      <c r="J408" s="23"/>
    </row>
    <row r="409" spans="10:10" x14ac:dyDescent="0.45">
      <c r="J409" s="23"/>
    </row>
    <row r="410" spans="10:10" x14ac:dyDescent="0.45">
      <c r="J410" s="23"/>
    </row>
    <row r="411" spans="10:10" x14ac:dyDescent="0.45">
      <c r="J411" s="23"/>
    </row>
    <row r="412" spans="10:10" x14ac:dyDescent="0.45">
      <c r="J412" s="23"/>
    </row>
    <row r="413" spans="10:10" x14ac:dyDescent="0.45">
      <c r="J413" s="23"/>
    </row>
    <row r="414" spans="10:10" x14ac:dyDescent="0.45">
      <c r="J414" s="23"/>
    </row>
    <row r="415" spans="10:10" x14ac:dyDescent="0.45">
      <c r="J415" s="23"/>
    </row>
    <row r="416" spans="10:10" x14ac:dyDescent="0.45">
      <c r="J416" s="23"/>
    </row>
    <row r="417" spans="10:10" x14ac:dyDescent="0.45">
      <c r="J417" s="23"/>
    </row>
    <row r="418" spans="10:10" x14ac:dyDescent="0.45">
      <c r="J418" s="23"/>
    </row>
    <row r="419" spans="10:10" x14ac:dyDescent="0.45">
      <c r="J419" s="23"/>
    </row>
    <row r="420" spans="10:10" x14ac:dyDescent="0.45">
      <c r="J420" s="23"/>
    </row>
    <row r="421" spans="10:10" x14ac:dyDescent="0.45">
      <c r="J421" s="23"/>
    </row>
    <row r="422" spans="10:10" x14ac:dyDescent="0.45">
      <c r="J422" s="23"/>
    </row>
    <row r="423" spans="10:10" x14ac:dyDescent="0.45">
      <c r="J423" s="23"/>
    </row>
    <row r="424" spans="10:10" x14ac:dyDescent="0.45">
      <c r="J424" s="23"/>
    </row>
    <row r="425" spans="10:10" x14ac:dyDescent="0.45">
      <c r="J425" s="23"/>
    </row>
    <row r="426" spans="10:10" x14ac:dyDescent="0.45">
      <c r="J426" s="23"/>
    </row>
    <row r="427" spans="10:10" x14ac:dyDescent="0.45">
      <c r="J427" s="23"/>
    </row>
    <row r="428" spans="10:10" x14ac:dyDescent="0.45">
      <c r="J428" s="23"/>
    </row>
    <row r="429" spans="10:10" x14ac:dyDescent="0.45">
      <c r="J429" s="23"/>
    </row>
    <row r="430" spans="10:10" x14ac:dyDescent="0.45">
      <c r="J430" s="23"/>
    </row>
    <row r="431" spans="10:10" x14ac:dyDescent="0.45">
      <c r="J431" s="23"/>
    </row>
    <row r="432" spans="10:10" x14ac:dyDescent="0.45">
      <c r="J432" s="23"/>
    </row>
    <row r="433" spans="10:10" x14ac:dyDescent="0.45">
      <c r="J433" s="23"/>
    </row>
    <row r="434" spans="10:10" x14ac:dyDescent="0.45">
      <c r="J434" s="23"/>
    </row>
    <row r="435" spans="10:10" x14ac:dyDescent="0.45">
      <c r="J435" s="23"/>
    </row>
    <row r="436" spans="10:10" x14ac:dyDescent="0.45">
      <c r="J436" s="23"/>
    </row>
    <row r="437" spans="10:10" x14ac:dyDescent="0.45">
      <c r="J437" s="23"/>
    </row>
    <row r="438" spans="10:10" x14ac:dyDescent="0.45">
      <c r="J438" s="23"/>
    </row>
    <row r="439" spans="10:10" x14ac:dyDescent="0.45">
      <c r="J439" s="23"/>
    </row>
    <row r="440" spans="10:10" x14ac:dyDescent="0.45">
      <c r="J440" s="23"/>
    </row>
    <row r="441" spans="10:10" x14ac:dyDescent="0.45">
      <c r="J441" s="23"/>
    </row>
    <row r="442" spans="10:10" x14ac:dyDescent="0.45">
      <c r="J442" s="23"/>
    </row>
    <row r="443" spans="10:10" x14ac:dyDescent="0.45">
      <c r="J443" s="23"/>
    </row>
    <row r="444" spans="10:10" x14ac:dyDescent="0.45">
      <c r="J444" s="23"/>
    </row>
    <row r="445" spans="10:10" x14ac:dyDescent="0.45">
      <c r="J445" s="23"/>
    </row>
    <row r="446" spans="10:10" x14ac:dyDescent="0.45">
      <c r="J446" s="23"/>
    </row>
    <row r="447" spans="10:10" x14ac:dyDescent="0.45">
      <c r="J447" s="23"/>
    </row>
    <row r="448" spans="10:10" x14ac:dyDescent="0.45">
      <c r="J448" s="23"/>
    </row>
    <row r="449" spans="10:10" x14ac:dyDescent="0.45">
      <c r="J449" s="23"/>
    </row>
    <row r="450" spans="10:10" x14ac:dyDescent="0.45">
      <c r="J450" s="23"/>
    </row>
    <row r="451" spans="10:10" x14ac:dyDescent="0.45">
      <c r="J451" s="23"/>
    </row>
    <row r="452" spans="10:10" x14ac:dyDescent="0.45">
      <c r="J452" s="23"/>
    </row>
    <row r="453" spans="10:10" x14ac:dyDescent="0.45">
      <c r="J453" s="23"/>
    </row>
    <row r="454" spans="10:10" x14ac:dyDescent="0.45">
      <c r="J454" s="23"/>
    </row>
    <row r="455" spans="10:10" x14ac:dyDescent="0.45">
      <c r="J455" s="23"/>
    </row>
    <row r="456" spans="10:10" x14ac:dyDescent="0.45">
      <c r="J456" s="23"/>
    </row>
    <row r="457" spans="10:10" x14ac:dyDescent="0.45">
      <c r="J457" s="23"/>
    </row>
    <row r="458" spans="10:10" x14ac:dyDescent="0.45">
      <c r="J458" s="23"/>
    </row>
    <row r="459" spans="10:10" x14ac:dyDescent="0.45">
      <c r="J459" s="23"/>
    </row>
    <row r="460" spans="10:10" x14ac:dyDescent="0.45">
      <c r="J460" s="23"/>
    </row>
    <row r="461" spans="10:10" x14ac:dyDescent="0.45">
      <c r="J461" s="23"/>
    </row>
    <row r="462" spans="10:10" x14ac:dyDescent="0.45">
      <c r="J462" s="23"/>
    </row>
    <row r="463" spans="10:10" x14ac:dyDescent="0.45">
      <c r="J463" s="23"/>
    </row>
    <row r="464" spans="10:10" x14ac:dyDescent="0.45">
      <c r="J464" s="23"/>
    </row>
    <row r="465" spans="10:10" x14ac:dyDescent="0.45">
      <c r="J465" s="23"/>
    </row>
    <row r="466" spans="10:10" x14ac:dyDescent="0.45">
      <c r="J466" s="23"/>
    </row>
    <row r="467" spans="10:10" x14ac:dyDescent="0.45">
      <c r="J467" s="23"/>
    </row>
    <row r="468" spans="10:10" x14ac:dyDescent="0.45">
      <c r="J468" s="23"/>
    </row>
    <row r="469" spans="10:10" x14ac:dyDescent="0.45">
      <c r="J469" s="23"/>
    </row>
    <row r="470" spans="10:10" x14ac:dyDescent="0.45">
      <c r="J470" s="23"/>
    </row>
    <row r="471" spans="10:10" x14ac:dyDescent="0.45">
      <c r="J471" s="23"/>
    </row>
    <row r="472" spans="10:10" x14ac:dyDescent="0.45">
      <c r="J472" s="23"/>
    </row>
    <row r="473" spans="10:10" x14ac:dyDescent="0.45">
      <c r="J473" s="23"/>
    </row>
    <row r="474" spans="10:10" x14ac:dyDescent="0.45">
      <c r="J474" s="23"/>
    </row>
    <row r="475" spans="10:10" x14ac:dyDescent="0.45">
      <c r="J475" s="23"/>
    </row>
    <row r="476" spans="10:10" x14ac:dyDescent="0.45">
      <c r="J476" s="23"/>
    </row>
    <row r="477" spans="10:10" x14ac:dyDescent="0.45">
      <c r="J477" s="23"/>
    </row>
    <row r="478" spans="10:10" x14ac:dyDescent="0.45">
      <c r="J478" s="23"/>
    </row>
    <row r="479" spans="10:10" x14ac:dyDescent="0.45">
      <c r="J479" s="23"/>
    </row>
    <row r="480" spans="10:10" x14ac:dyDescent="0.45">
      <c r="J480" s="23"/>
    </row>
    <row r="481" spans="10:10" x14ac:dyDescent="0.45">
      <c r="J481" s="23"/>
    </row>
    <row r="482" spans="10:10" x14ac:dyDescent="0.45">
      <c r="J482" s="23"/>
    </row>
    <row r="483" spans="10:10" x14ac:dyDescent="0.45">
      <c r="J483" s="23"/>
    </row>
    <row r="484" spans="10:10" x14ac:dyDescent="0.45">
      <c r="J484" s="23"/>
    </row>
    <row r="485" spans="10:10" x14ac:dyDescent="0.45">
      <c r="J485" s="23"/>
    </row>
    <row r="486" spans="10:10" x14ac:dyDescent="0.45">
      <c r="J486" s="23"/>
    </row>
    <row r="487" spans="10:10" x14ac:dyDescent="0.45">
      <c r="J487" s="23"/>
    </row>
    <row r="488" spans="10:10" x14ac:dyDescent="0.45">
      <c r="J488" s="23"/>
    </row>
    <row r="489" spans="10:10" x14ac:dyDescent="0.45">
      <c r="J489" s="23"/>
    </row>
    <row r="490" spans="10:10" x14ac:dyDescent="0.45">
      <c r="J490" s="23"/>
    </row>
    <row r="491" spans="10:10" x14ac:dyDescent="0.45">
      <c r="J491" s="23"/>
    </row>
    <row r="492" spans="10:10" x14ac:dyDescent="0.45">
      <c r="J492" s="23"/>
    </row>
    <row r="493" spans="10:10" x14ac:dyDescent="0.45">
      <c r="J493" s="23"/>
    </row>
    <row r="494" spans="10:10" x14ac:dyDescent="0.45">
      <c r="J494" s="23"/>
    </row>
    <row r="495" spans="10:10" x14ac:dyDescent="0.45">
      <c r="J495" s="23"/>
    </row>
    <row r="496" spans="10:10" x14ac:dyDescent="0.45">
      <c r="J496" s="23"/>
    </row>
    <row r="497" spans="10:10" x14ac:dyDescent="0.45">
      <c r="J497" s="23"/>
    </row>
    <row r="498" spans="10:10" x14ac:dyDescent="0.45">
      <c r="J498" s="23"/>
    </row>
    <row r="499" spans="10:10" x14ac:dyDescent="0.45">
      <c r="J499" s="23"/>
    </row>
    <row r="500" spans="10:10" x14ac:dyDescent="0.45">
      <c r="J500" s="23"/>
    </row>
    <row r="501" spans="10:10" x14ac:dyDescent="0.45">
      <c r="J501" s="23"/>
    </row>
    <row r="502" spans="10:10" x14ac:dyDescent="0.45">
      <c r="J502" s="23"/>
    </row>
    <row r="503" spans="10:10" x14ac:dyDescent="0.45">
      <c r="J503" s="23"/>
    </row>
    <row r="504" spans="10:10" x14ac:dyDescent="0.45">
      <c r="J504" s="23"/>
    </row>
    <row r="505" spans="10:10" x14ac:dyDescent="0.45">
      <c r="J505" s="23"/>
    </row>
    <row r="506" spans="10:10" x14ac:dyDescent="0.45">
      <c r="J506" s="23"/>
    </row>
    <row r="507" spans="10:10" x14ac:dyDescent="0.45">
      <c r="J507" s="23"/>
    </row>
    <row r="508" spans="10:10" x14ac:dyDescent="0.45">
      <c r="J508" s="23"/>
    </row>
    <row r="509" spans="10:10" x14ac:dyDescent="0.45">
      <c r="J509" s="23"/>
    </row>
    <row r="510" spans="10:10" x14ac:dyDescent="0.45">
      <c r="J510" s="23"/>
    </row>
    <row r="511" spans="10:10" x14ac:dyDescent="0.45">
      <c r="J511" s="23"/>
    </row>
    <row r="512" spans="10:10" x14ac:dyDescent="0.45">
      <c r="J512" s="23"/>
    </row>
    <row r="513" spans="10:10" x14ac:dyDescent="0.45">
      <c r="J513" s="23"/>
    </row>
    <row r="514" spans="10:10" x14ac:dyDescent="0.45">
      <c r="J514" s="23"/>
    </row>
    <row r="515" spans="10:10" x14ac:dyDescent="0.45">
      <c r="J515" s="23"/>
    </row>
    <row r="516" spans="10:10" x14ac:dyDescent="0.45">
      <c r="J516" s="23"/>
    </row>
    <row r="517" spans="10:10" x14ac:dyDescent="0.45">
      <c r="J517" s="23"/>
    </row>
    <row r="518" spans="10:10" x14ac:dyDescent="0.45">
      <c r="J518" s="23"/>
    </row>
    <row r="519" spans="10:10" x14ac:dyDescent="0.45">
      <c r="J519" s="23"/>
    </row>
    <row r="520" spans="10:10" x14ac:dyDescent="0.45">
      <c r="J520" s="23"/>
    </row>
    <row r="521" spans="10:10" x14ac:dyDescent="0.45">
      <c r="J521" s="23"/>
    </row>
    <row r="522" spans="10:10" x14ac:dyDescent="0.45">
      <c r="J522" s="23"/>
    </row>
    <row r="523" spans="10:10" x14ac:dyDescent="0.45">
      <c r="J523" s="23"/>
    </row>
    <row r="524" spans="10:10" x14ac:dyDescent="0.45">
      <c r="J524" s="23"/>
    </row>
    <row r="525" spans="10:10" x14ac:dyDescent="0.45">
      <c r="J525" s="23"/>
    </row>
    <row r="526" spans="10:10" x14ac:dyDescent="0.45">
      <c r="J526" s="23"/>
    </row>
    <row r="527" spans="10:10" x14ac:dyDescent="0.45">
      <c r="J527" s="23"/>
    </row>
    <row r="528" spans="10:10" x14ac:dyDescent="0.45">
      <c r="J528" s="23"/>
    </row>
    <row r="529" spans="10:10" x14ac:dyDescent="0.45">
      <c r="J529" s="23"/>
    </row>
    <row r="530" spans="10:10" x14ac:dyDescent="0.45">
      <c r="J530" s="23"/>
    </row>
    <row r="531" spans="10:10" x14ac:dyDescent="0.45">
      <c r="J531" s="23"/>
    </row>
    <row r="532" spans="10:10" x14ac:dyDescent="0.45">
      <c r="J532" s="23"/>
    </row>
    <row r="533" spans="10:10" x14ac:dyDescent="0.45">
      <c r="J533" s="23"/>
    </row>
    <row r="534" spans="10:10" x14ac:dyDescent="0.45">
      <c r="J534" s="23"/>
    </row>
    <row r="535" spans="10:10" x14ac:dyDescent="0.45">
      <c r="J535" s="23"/>
    </row>
    <row r="536" spans="10:10" x14ac:dyDescent="0.45">
      <c r="J536" s="23"/>
    </row>
    <row r="537" spans="10:10" x14ac:dyDescent="0.45">
      <c r="J537" s="23"/>
    </row>
    <row r="538" spans="10:10" x14ac:dyDescent="0.45">
      <c r="J538" s="23"/>
    </row>
    <row r="539" spans="10:10" x14ac:dyDescent="0.45">
      <c r="J539" s="23"/>
    </row>
    <row r="540" spans="10:10" x14ac:dyDescent="0.45">
      <c r="J540" s="23"/>
    </row>
    <row r="541" spans="10:10" x14ac:dyDescent="0.45">
      <c r="J541" s="23"/>
    </row>
    <row r="542" spans="10:10" x14ac:dyDescent="0.45">
      <c r="J542" s="23"/>
    </row>
    <row r="543" spans="10:10" x14ac:dyDescent="0.45">
      <c r="J543" s="23"/>
    </row>
    <row r="544" spans="10:10" x14ac:dyDescent="0.45">
      <c r="J544" s="23"/>
    </row>
    <row r="545" spans="10:10" x14ac:dyDescent="0.45">
      <c r="J545" s="23"/>
    </row>
    <row r="546" spans="10:10" x14ac:dyDescent="0.45">
      <c r="J546" s="23"/>
    </row>
    <row r="547" spans="10:10" x14ac:dyDescent="0.45">
      <c r="J547" s="23"/>
    </row>
    <row r="548" spans="10:10" x14ac:dyDescent="0.45">
      <c r="J548" s="23"/>
    </row>
    <row r="549" spans="10:10" x14ac:dyDescent="0.45">
      <c r="J549" s="23"/>
    </row>
    <row r="550" spans="10:10" x14ac:dyDescent="0.45">
      <c r="J550" s="23"/>
    </row>
    <row r="551" spans="10:10" x14ac:dyDescent="0.45">
      <c r="J551" s="23"/>
    </row>
    <row r="552" spans="10:10" x14ac:dyDescent="0.45">
      <c r="J552" s="23"/>
    </row>
    <row r="553" spans="10:10" x14ac:dyDescent="0.45">
      <c r="J553" s="23"/>
    </row>
    <row r="554" spans="10:10" x14ac:dyDescent="0.45">
      <c r="J554" s="23"/>
    </row>
    <row r="555" spans="10:10" x14ac:dyDescent="0.45">
      <c r="J555" s="23"/>
    </row>
    <row r="556" spans="10:10" x14ac:dyDescent="0.45">
      <c r="J556" s="23"/>
    </row>
    <row r="557" spans="10:10" x14ac:dyDescent="0.45">
      <c r="J557" s="23"/>
    </row>
    <row r="558" spans="10:10" x14ac:dyDescent="0.45">
      <c r="J558" s="23"/>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92"/>
  <sheetViews>
    <sheetView topLeftCell="A7" zoomScale="57" zoomScaleNormal="18" workbookViewId="0">
      <selection activeCell="O35" sqref="O35"/>
    </sheetView>
  </sheetViews>
  <sheetFormatPr defaultColWidth="8.6640625" defaultRowHeight="14.25" x14ac:dyDescent="0.45"/>
  <cols>
    <col min="1" max="1" width="22" customWidth="1"/>
    <col min="2" max="2" width="14" customWidth="1"/>
    <col min="3" max="3" width="22" customWidth="1"/>
    <col min="4" max="4" width="13.19921875" customWidth="1"/>
    <col min="5" max="5" width="14.06640625" customWidth="1"/>
    <col min="6" max="6" width="9.19921875" customWidth="1"/>
    <col min="7" max="7" width="23.06640625" customWidth="1"/>
    <col min="8" max="9" width="18" customWidth="1"/>
    <col min="10" max="10" width="13" customWidth="1"/>
    <col min="11" max="11" width="18" customWidth="1"/>
    <col min="12" max="12" width="34" customWidth="1"/>
    <col min="15" max="15" width="18.6640625" bestFit="1" customWidth="1"/>
    <col min="16" max="16" width="11.53125" customWidth="1"/>
    <col min="17" max="17" width="9.3984375" bestFit="1" customWidth="1"/>
    <col min="18" max="18" width="15.46484375" customWidth="1"/>
    <col min="19" max="20" width="11.06640625" bestFit="1" customWidth="1"/>
    <col min="21" max="21" width="5" bestFit="1" customWidth="1"/>
    <col min="22" max="22" width="10.265625" bestFit="1" customWidth="1"/>
    <col min="23" max="23" width="12.33203125" bestFit="1" customWidth="1"/>
    <col min="24" max="24" width="16.6640625" bestFit="1" customWidth="1"/>
    <col min="25" max="25" width="18.6640625" bestFit="1" customWidth="1"/>
    <col min="26" max="26" width="13.53125" bestFit="1" customWidth="1"/>
    <col min="28" max="28" width="18.265625" bestFit="1" customWidth="1"/>
    <col min="29" max="29" width="16.19921875" bestFit="1" customWidth="1"/>
    <col min="30" max="30" width="13.53125" bestFit="1" customWidth="1"/>
    <col min="31" max="31" width="18.6640625" bestFit="1" customWidth="1"/>
  </cols>
  <sheetData>
    <row r="1" spans="1:13" ht="39.75" customHeight="1" x14ac:dyDescent="0.45">
      <c r="A1" s="43" t="s">
        <v>1261</v>
      </c>
      <c r="B1" s="43"/>
      <c r="C1" s="43"/>
      <c r="D1" s="43"/>
      <c r="E1" s="43"/>
      <c r="F1" s="43"/>
      <c r="G1" s="43"/>
      <c r="H1" s="43"/>
      <c r="I1" s="43"/>
      <c r="J1" s="43"/>
      <c r="K1" s="43"/>
      <c r="L1" s="43"/>
    </row>
    <row r="2" spans="1:13" ht="18" customHeight="1" x14ac:dyDescent="0.45">
      <c r="A2" s="44" t="s">
        <v>1262</v>
      </c>
      <c r="B2" s="44"/>
      <c r="C2" s="44"/>
      <c r="D2" s="44"/>
      <c r="E2" s="44"/>
      <c r="F2" s="44"/>
      <c r="G2" s="44"/>
      <c r="H2" s="44"/>
      <c r="I2" s="44"/>
      <c r="J2" s="44"/>
      <c r="K2" s="44"/>
      <c r="L2" s="44"/>
    </row>
    <row r="3" spans="1:13" ht="7.5" customHeight="1" x14ac:dyDescent="0.45"/>
    <row r="4" spans="1:13" ht="30" customHeight="1" x14ac:dyDescent="0.45">
      <c r="A4" s="30" t="s">
        <v>970</v>
      </c>
      <c r="B4" s="31" t="s">
        <v>4</v>
      </c>
      <c r="C4" s="31" t="s">
        <v>5</v>
      </c>
      <c r="D4" s="31" t="s">
        <v>1</v>
      </c>
      <c r="E4" s="31" t="s">
        <v>2</v>
      </c>
      <c r="F4" s="31" t="s">
        <v>3</v>
      </c>
      <c r="G4" s="32" t="s">
        <v>972</v>
      </c>
      <c r="H4" s="33" t="s">
        <v>1263</v>
      </c>
      <c r="I4" s="33" t="s">
        <v>1264</v>
      </c>
      <c r="J4" s="33" t="s">
        <v>1265</v>
      </c>
      <c r="K4" s="33" t="s">
        <v>1266</v>
      </c>
      <c r="L4" s="34" t="s">
        <v>9</v>
      </c>
    </row>
    <row r="5" spans="1:13" ht="15" customHeight="1" x14ac:dyDescent="0.45">
      <c r="A5" s="26" t="s">
        <v>973</v>
      </c>
      <c r="B5" s="9" t="s">
        <v>57</v>
      </c>
      <c r="C5" s="9" t="s">
        <v>14</v>
      </c>
      <c r="D5" s="9">
        <v>1</v>
      </c>
      <c r="E5" s="9" t="s">
        <v>66</v>
      </c>
      <c r="F5" s="9" t="s">
        <v>12</v>
      </c>
      <c r="G5" s="4">
        <v>378000</v>
      </c>
      <c r="H5" s="10">
        <f>SUMIFS(Raw_Actuals!$H:$H,Raw_Actuals!$E:$E,B5,Raw_Actuals!$F:$F,C5,Raw_Actuals!$B:$B,D5)</f>
        <v>437600</v>
      </c>
      <c r="I5" s="11">
        <f t="shared" ref="I5:I68" si="0">H5-G5</f>
        <v>59600</v>
      </c>
      <c r="J5" s="12">
        <f t="shared" ref="J5:J68" si="1">IFERROR(I5/G5,0)</f>
        <v>0.15767195767195769</v>
      </c>
      <c r="K5" s="13" t="str">
        <f t="shared" ref="K5:K68" si="2">IF(J5&gt;0.15,"🔴 Over Budget",IF(J5&lt;-0.1,"🟡 Under Budget","🟢 On Track"))</f>
        <v>🔴 Over Budget</v>
      </c>
      <c r="L5" s="28" t="str">
        <f t="shared" ref="L5:L68" si="3">IFERROR(IF(J5&gt;0.15,"Overspend: review with dept head",IF(J5&lt;-0.1,"Underspend: check if deferred","")),"")</f>
        <v>Overspend: review with dept head</v>
      </c>
      <c r="M5" s="23"/>
    </row>
    <row r="6" spans="1:13" ht="15" customHeight="1" x14ac:dyDescent="0.45">
      <c r="A6" s="27" t="s">
        <v>974</v>
      </c>
      <c r="B6" s="14" t="s">
        <v>57</v>
      </c>
      <c r="C6" s="14" t="s">
        <v>75</v>
      </c>
      <c r="D6" s="14">
        <v>1</v>
      </c>
      <c r="E6" s="14" t="s">
        <v>66</v>
      </c>
      <c r="F6" s="14" t="s">
        <v>12</v>
      </c>
      <c r="G6" s="7">
        <v>32000</v>
      </c>
      <c r="H6" s="15">
        <f>SUMIFS(Raw_Actuals!$H:$H,Raw_Actuals!$E:$E,B6,Raw_Actuals!$F:$F,C6,Raw_Actuals!$B:$B,D6)</f>
        <v>31200</v>
      </c>
      <c r="I6" s="16">
        <f t="shared" si="0"/>
        <v>-800</v>
      </c>
      <c r="J6" s="17">
        <f t="shared" si="1"/>
        <v>-2.5000000000000001E-2</v>
      </c>
      <c r="K6" s="18" t="str">
        <f t="shared" si="2"/>
        <v>🟢 On Track</v>
      </c>
      <c r="L6" s="29" t="str">
        <f t="shared" si="3"/>
        <v/>
      </c>
    </row>
    <row r="7" spans="1:13" ht="15" customHeight="1" x14ac:dyDescent="0.45">
      <c r="A7" s="26" t="s">
        <v>975</v>
      </c>
      <c r="B7" s="9" t="s">
        <v>57</v>
      </c>
      <c r="C7" s="9" t="s">
        <v>85</v>
      </c>
      <c r="D7" s="9">
        <v>1</v>
      </c>
      <c r="E7" s="9" t="s">
        <v>66</v>
      </c>
      <c r="F7" s="9" t="s">
        <v>12</v>
      </c>
      <c r="G7" s="4">
        <v>50000</v>
      </c>
      <c r="H7" s="10">
        <f>SUMIFS(Raw_Actuals!$H:$H,Raw_Actuals!$E:$E,B7,Raw_Actuals!$F:$F,C7,Raw_Actuals!$B:$B,D7)</f>
        <v>56500</v>
      </c>
      <c r="I7" s="11">
        <f t="shared" si="0"/>
        <v>6500</v>
      </c>
      <c r="J7" s="12">
        <f t="shared" si="1"/>
        <v>0.13</v>
      </c>
      <c r="K7" s="13" t="str">
        <f t="shared" si="2"/>
        <v>🟢 On Track</v>
      </c>
      <c r="L7" s="28" t="str">
        <f t="shared" si="3"/>
        <v/>
      </c>
    </row>
    <row r="8" spans="1:13" ht="15" customHeight="1" x14ac:dyDescent="0.45">
      <c r="A8" s="27" t="s">
        <v>976</v>
      </c>
      <c r="B8" s="14" t="s">
        <v>57</v>
      </c>
      <c r="C8" s="14" t="s">
        <v>63</v>
      </c>
      <c r="D8" s="14">
        <v>1</v>
      </c>
      <c r="E8" s="14" t="s">
        <v>66</v>
      </c>
      <c r="F8" s="14" t="s">
        <v>12</v>
      </c>
      <c r="G8" s="7">
        <v>16000</v>
      </c>
      <c r="H8" s="15">
        <f>SUMIFS(Raw_Actuals!$H:$H,Raw_Actuals!$E:$E,B8,Raw_Actuals!$F:$F,C8,Raw_Actuals!$B:$B,D8)</f>
        <v>18000</v>
      </c>
      <c r="I8" s="16">
        <f t="shared" si="0"/>
        <v>2000</v>
      </c>
      <c r="J8" s="12">
        <f t="shared" si="1"/>
        <v>0.125</v>
      </c>
      <c r="K8" s="18" t="str">
        <f t="shared" si="2"/>
        <v>🟢 On Track</v>
      </c>
      <c r="L8" s="29" t="str">
        <f t="shared" si="3"/>
        <v/>
      </c>
    </row>
    <row r="9" spans="1:13" ht="15" customHeight="1" x14ac:dyDescent="0.45">
      <c r="A9" s="26" t="s">
        <v>977</v>
      </c>
      <c r="B9" s="9" t="s">
        <v>13</v>
      </c>
      <c r="C9" s="9" t="s">
        <v>14</v>
      </c>
      <c r="D9" s="9">
        <v>1</v>
      </c>
      <c r="E9" s="9" t="s">
        <v>66</v>
      </c>
      <c r="F9" s="9" t="s">
        <v>12</v>
      </c>
      <c r="G9" s="4">
        <v>342000</v>
      </c>
      <c r="H9" s="10">
        <f>SUMIFS(Raw_Actuals!$H:$H,Raw_Actuals!$E:$E,B9,Raw_Actuals!$F:$F,C9,Raw_Actuals!$B:$B,D9)</f>
        <v>402900</v>
      </c>
      <c r="I9" s="11">
        <f t="shared" si="0"/>
        <v>60900</v>
      </c>
      <c r="J9" s="12">
        <f t="shared" si="1"/>
        <v>0.17807017543859649</v>
      </c>
      <c r="K9" s="13" t="str">
        <f t="shared" si="2"/>
        <v>🔴 Over Budget</v>
      </c>
      <c r="L9" s="28" t="str">
        <f t="shared" si="3"/>
        <v>Overspend: review with dept head</v>
      </c>
    </row>
    <row r="10" spans="1:13" ht="15" customHeight="1" x14ac:dyDescent="0.45">
      <c r="A10" s="27" t="s">
        <v>978</v>
      </c>
      <c r="B10" s="14" t="s">
        <v>13</v>
      </c>
      <c r="C10" s="14" t="s">
        <v>102</v>
      </c>
      <c r="D10" s="14">
        <v>1</v>
      </c>
      <c r="E10" s="14" t="s">
        <v>66</v>
      </c>
      <c r="F10" s="14" t="s">
        <v>12</v>
      </c>
      <c r="G10" s="7">
        <v>135000</v>
      </c>
      <c r="H10" s="15">
        <f>SUMIFS(Raw_Actuals!$H:$H,Raw_Actuals!$E:$E,B10,Raw_Actuals!$F:$F,C10,Raw_Actuals!$B:$B,D10)</f>
        <v>146600</v>
      </c>
      <c r="I10" s="16">
        <f t="shared" si="0"/>
        <v>11600</v>
      </c>
      <c r="J10" s="17">
        <f t="shared" si="1"/>
        <v>8.5925925925925919E-2</v>
      </c>
      <c r="K10" s="18" t="str">
        <f t="shared" si="2"/>
        <v>🟢 On Track</v>
      </c>
      <c r="L10" s="29" t="str">
        <f t="shared" si="3"/>
        <v/>
      </c>
    </row>
    <row r="11" spans="1:13" ht="15" customHeight="1" x14ac:dyDescent="0.45">
      <c r="A11" s="26" t="s">
        <v>979</v>
      </c>
      <c r="B11" s="9" t="s">
        <v>13</v>
      </c>
      <c r="C11" s="9" t="s">
        <v>50</v>
      </c>
      <c r="D11" s="9">
        <v>1</v>
      </c>
      <c r="E11" s="9" t="s">
        <v>66</v>
      </c>
      <c r="F11" s="9" t="s">
        <v>12</v>
      </c>
      <c r="G11" s="4">
        <v>63000</v>
      </c>
      <c r="H11" s="10">
        <f>SUMIFS(Raw_Actuals!$H:$H,Raw_Actuals!$E:$E,B11,Raw_Actuals!$F:$F,C11,Raw_Actuals!$B:$B,D11)</f>
        <v>67400</v>
      </c>
      <c r="I11" s="11">
        <f t="shared" si="0"/>
        <v>4400</v>
      </c>
      <c r="J11" s="12">
        <f t="shared" si="1"/>
        <v>6.9841269841269843E-2</v>
      </c>
      <c r="K11" s="13" t="str">
        <f t="shared" si="2"/>
        <v>🟢 On Track</v>
      </c>
      <c r="L11" s="28" t="str">
        <f t="shared" si="3"/>
        <v/>
      </c>
    </row>
    <row r="12" spans="1:13" ht="15" customHeight="1" x14ac:dyDescent="0.45">
      <c r="A12" s="27" t="s">
        <v>980</v>
      </c>
      <c r="B12" s="14" t="s">
        <v>13</v>
      </c>
      <c r="C12" s="14" t="s">
        <v>63</v>
      </c>
      <c r="D12" s="14">
        <v>1</v>
      </c>
      <c r="E12" s="14" t="s">
        <v>66</v>
      </c>
      <c r="F12" s="14" t="s">
        <v>12</v>
      </c>
      <c r="G12" s="7">
        <v>22000</v>
      </c>
      <c r="H12" s="15">
        <f>SUMIFS(Raw_Actuals!$H:$H,Raw_Actuals!$E:$E,B12,Raw_Actuals!$F:$F,C12,Raw_Actuals!$B:$B,D12)</f>
        <v>25300</v>
      </c>
      <c r="I12" s="16">
        <f t="shared" si="0"/>
        <v>3300</v>
      </c>
      <c r="J12" s="17">
        <f t="shared" si="1"/>
        <v>0.15</v>
      </c>
      <c r="K12" s="18" t="str">
        <f t="shared" si="2"/>
        <v>🟢 On Track</v>
      </c>
      <c r="L12" s="29" t="str">
        <f t="shared" si="3"/>
        <v/>
      </c>
    </row>
    <row r="13" spans="1:13" ht="15" customHeight="1" x14ac:dyDescent="0.45">
      <c r="A13" s="26" t="s">
        <v>981</v>
      </c>
      <c r="B13" s="9" t="s">
        <v>24</v>
      </c>
      <c r="C13" s="9" t="s">
        <v>14</v>
      </c>
      <c r="D13" s="9">
        <v>1</v>
      </c>
      <c r="E13" s="9" t="s">
        <v>66</v>
      </c>
      <c r="F13" s="9" t="s">
        <v>12</v>
      </c>
      <c r="G13" s="4">
        <v>450000</v>
      </c>
      <c r="H13" s="10">
        <f>SUMIFS(Raw_Actuals!$H:$H,Raw_Actuals!$E:$E,B13,Raw_Actuals!$F:$F,C13,Raw_Actuals!$B:$B,D13)</f>
        <v>511600</v>
      </c>
      <c r="I13" s="11">
        <f t="shared" si="0"/>
        <v>61600</v>
      </c>
      <c r="J13" s="12">
        <f t="shared" si="1"/>
        <v>0.13688888888888889</v>
      </c>
      <c r="K13" s="13" t="str">
        <f t="shared" si="2"/>
        <v>🟢 On Track</v>
      </c>
      <c r="L13" s="28" t="str">
        <f t="shared" si="3"/>
        <v/>
      </c>
    </row>
    <row r="14" spans="1:13" ht="15" customHeight="1" x14ac:dyDescent="0.45">
      <c r="A14" s="27" t="s">
        <v>982</v>
      </c>
      <c r="B14" s="14" t="s">
        <v>24</v>
      </c>
      <c r="C14" s="14" t="s">
        <v>36</v>
      </c>
      <c r="D14" s="14">
        <v>1</v>
      </c>
      <c r="E14" s="14" t="s">
        <v>66</v>
      </c>
      <c r="F14" s="14" t="s">
        <v>12</v>
      </c>
      <c r="G14" s="7">
        <v>81000</v>
      </c>
      <c r="H14" s="15">
        <f>SUMIFS(Raw_Actuals!$H:$H,Raw_Actuals!$E:$E,B14,Raw_Actuals!$F:$F,C14,Raw_Actuals!$B:$B,D14)</f>
        <v>84000</v>
      </c>
      <c r="I14" s="16">
        <f t="shared" si="0"/>
        <v>3000</v>
      </c>
      <c r="J14" s="17">
        <f t="shared" si="1"/>
        <v>3.7037037037037035E-2</v>
      </c>
      <c r="K14" s="18" t="str">
        <f t="shared" si="2"/>
        <v>🟢 On Track</v>
      </c>
      <c r="L14" s="29" t="str">
        <f t="shared" si="3"/>
        <v/>
      </c>
    </row>
    <row r="15" spans="1:13" ht="15" customHeight="1" x14ac:dyDescent="0.45">
      <c r="A15" s="26" t="s">
        <v>983</v>
      </c>
      <c r="B15" s="9" t="s">
        <v>24</v>
      </c>
      <c r="C15" s="9" t="s">
        <v>25</v>
      </c>
      <c r="D15" s="9">
        <v>1</v>
      </c>
      <c r="E15" s="9" t="s">
        <v>66</v>
      </c>
      <c r="F15" s="9" t="s">
        <v>12</v>
      </c>
      <c r="G15" s="4">
        <v>72000</v>
      </c>
      <c r="H15" s="10">
        <f>SUMIFS(Raw_Actuals!$H:$H,Raw_Actuals!$E:$E,B15,Raw_Actuals!$F:$F,C15,Raw_Actuals!$B:$B,D15)</f>
        <v>83600</v>
      </c>
      <c r="I15" s="11">
        <f t="shared" si="0"/>
        <v>11600</v>
      </c>
      <c r="J15" s="12">
        <f t="shared" si="1"/>
        <v>0.16111111111111112</v>
      </c>
      <c r="K15" s="13" t="str">
        <f t="shared" si="2"/>
        <v>🔴 Over Budget</v>
      </c>
      <c r="L15" s="28" t="str">
        <f t="shared" si="3"/>
        <v>Overspend: review with dept head</v>
      </c>
    </row>
    <row r="16" spans="1:13" ht="15" customHeight="1" x14ac:dyDescent="0.45">
      <c r="A16" s="27" t="s">
        <v>984</v>
      </c>
      <c r="B16" s="14" t="s">
        <v>24</v>
      </c>
      <c r="C16" s="14" t="s">
        <v>44</v>
      </c>
      <c r="D16" s="14">
        <v>1</v>
      </c>
      <c r="E16" s="14" t="s">
        <v>66</v>
      </c>
      <c r="F16" s="14" t="s">
        <v>12</v>
      </c>
      <c r="G16" s="7">
        <v>99000</v>
      </c>
      <c r="H16" s="15">
        <f>SUMIFS(Raw_Actuals!$H:$H,Raw_Actuals!$E:$E,B16,Raw_Actuals!$F:$F,C16,Raw_Actuals!$B:$B,D16)</f>
        <v>116300</v>
      </c>
      <c r="I16" s="16">
        <f t="shared" si="0"/>
        <v>17300</v>
      </c>
      <c r="J16" s="17">
        <f t="shared" si="1"/>
        <v>0.17474747474747473</v>
      </c>
      <c r="K16" s="18" t="str">
        <f t="shared" si="2"/>
        <v>🔴 Over Budget</v>
      </c>
      <c r="L16" s="29" t="str">
        <f t="shared" si="3"/>
        <v>Overspend: review with dept head</v>
      </c>
    </row>
    <row r="17" spans="1:12" ht="15" customHeight="1" x14ac:dyDescent="0.45">
      <c r="A17" s="26" t="s">
        <v>985</v>
      </c>
      <c r="B17" s="9" t="s">
        <v>19</v>
      </c>
      <c r="C17" s="9" t="s">
        <v>14</v>
      </c>
      <c r="D17" s="9">
        <v>1</v>
      </c>
      <c r="E17" s="9" t="s">
        <v>66</v>
      </c>
      <c r="F17" s="9" t="s">
        <v>12</v>
      </c>
      <c r="G17" s="4">
        <v>315000</v>
      </c>
      <c r="H17" s="10">
        <f>SUMIFS(Raw_Actuals!$H:$H,Raw_Actuals!$E:$E,B17,Raw_Actuals!$F:$F,C17,Raw_Actuals!$B:$B,D17)</f>
        <v>383800</v>
      </c>
      <c r="I17" s="11">
        <f t="shared" si="0"/>
        <v>68800</v>
      </c>
      <c r="J17" s="12">
        <f t="shared" si="1"/>
        <v>0.21841269841269842</v>
      </c>
      <c r="K17" s="13" t="str">
        <f t="shared" si="2"/>
        <v>🔴 Over Budget</v>
      </c>
      <c r="L17" s="28" t="str">
        <f t="shared" si="3"/>
        <v>Overspend: review with dept head</v>
      </c>
    </row>
    <row r="18" spans="1:12" ht="15" customHeight="1" x14ac:dyDescent="0.45">
      <c r="A18" s="27" t="s">
        <v>986</v>
      </c>
      <c r="B18" s="14" t="s">
        <v>19</v>
      </c>
      <c r="C18" s="14" t="s">
        <v>53</v>
      </c>
      <c r="D18" s="14">
        <v>1</v>
      </c>
      <c r="E18" s="14" t="s">
        <v>66</v>
      </c>
      <c r="F18" s="14" t="s">
        <v>12</v>
      </c>
      <c r="G18" s="7">
        <v>54000</v>
      </c>
      <c r="H18" s="15">
        <f>SUMIFS(Raw_Actuals!$H:$H,Raw_Actuals!$E:$E,B18,Raw_Actuals!$F:$F,C18,Raw_Actuals!$B:$B,D18)</f>
        <v>38900</v>
      </c>
      <c r="I18" s="16">
        <f t="shared" si="0"/>
        <v>-15100</v>
      </c>
      <c r="J18" s="17">
        <f t="shared" si="1"/>
        <v>-0.27962962962962962</v>
      </c>
      <c r="K18" s="18" t="str">
        <f t="shared" si="2"/>
        <v>🟡 Under Budget</v>
      </c>
      <c r="L18" s="29" t="str">
        <f t="shared" si="3"/>
        <v>Underspend: check if deferred</v>
      </c>
    </row>
    <row r="19" spans="1:12" ht="15" customHeight="1" x14ac:dyDescent="0.45">
      <c r="A19" s="26" t="s">
        <v>987</v>
      </c>
      <c r="B19" s="9" t="s">
        <v>19</v>
      </c>
      <c r="C19" s="9" t="s">
        <v>31</v>
      </c>
      <c r="D19" s="9">
        <v>1</v>
      </c>
      <c r="E19" s="9" t="s">
        <v>66</v>
      </c>
      <c r="F19" s="9" t="s">
        <v>12</v>
      </c>
      <c r="G19" s="4">
        <v>40000</v>
      </c>
      <c r="H19" s="10">
        <f>SUMIFS(Raw_Actuals!$H:$H,Raw_Actuals!$E:$E,B19,Raw_Actuals!$F:$F,C19,Raw_Actuals!$B:$B,D19)</f>
        <v>40100</v>
      </c>
      <c r="I19" s="11">
        <f t="shared" si="0"/>
        <v>100</v>
      </c>
      <c r="J19" s="12">
        <f t="shared" si="1"/>
        <v>2.5000000000000001E-3</v>
      </c>
      <c r="K19" s="13" t="str">
        <f t="shared" si="2"/>
        <v>🟢 On Track</v>
      </c>
      <c r="L19" s="28" t="str">
        <f t="shared" si="3"/>
        <v/>
      </c>
    </row>
    <row r="20" spans="1:12" ht="15" customHeight="1" x14ac:dyDescent="0.45">
      <c r="A20" s="27" t="s">
        <v>988</v>
      </c>
      <c r="B20" s="14" t="s">
        <v>19</v>
      </c>
      <c r="C20" s="14" t="s">
        <v>63</v>
      </c>
      <c r="D20" s="14">
        <v>1</v>
      </c>
      <c r="E20" s="14" t="s">
        <v>66</v>
      </c>
      <c r="F20" s="14" t="s">
        <v>12</v>
      </c>
      <c r="G20" s="7">
        <v>18000</v>
      </c>
      <c r="H20" s="15">
        <f>SUMIFS(Raw_Actuals!$H:$H,Raw_Actuals!$E:$E,B20,Raw_Actuals!$F:$F,C20,Raw_Actuals!$B:$B,D20)</f>
        <v>23000</v>
      </c>
      <c r="I20" s="16">
        <f t="shared" si="0"/>
        <v>5000</v>
      </c>
      <c r="J20" s="17">
        <f t="shared" si="1"/>
        <v>0.27777777777777779</v>
      </c>
      <c r="K20" s="18" t="str">
        <f t="shared" si="2"/>
        <v>🔴 Over Budget</v>
      </c>
      <c r="L20" s="29" t="str">
        <f t="shared" si="3"/>
        <v>Overspend: review with dept head</v>
      </c>
    </row>
    <row r="21" spans="1:12" ht="15" customHeight="1" x14ac:dyDescent="0.45">
      <c r="A21" s="26" t="s">
        <v>989</v>
      </c>
      <c r="B21" s="9" t="s">
        <v>35</v>
      </c>
      <c r="C21" s="9" t="s">
        <v>14</v>
      </c>
      <c r="D21" s="9">
        <v>1</v>
      </c>
      <c r="E21" s="9" t="s">
        <v>66</v>
      </c>
      <c r="F21" s="9" t="s">
        <v>12</v>
      </c>
      <c r="G21" s="4">
        <v>261000</v>
      </c>
      <c r="H21" s="10">
        <f>SUMIFS(Raw_Actuals!$H:$H,Raw_Actuals!$E:$E,B21,Raw_Actuals!$F:$F,C21,Raw_Actuals!$B:$B,D21)</f>
        <v>321400</v>
      </c>
      <c r="I21" s="11">
        <f t="shared" si="0"/>
        <v>60400</v>
      </c>
      <c r="J21" s="12">
        <f t="shared" si="1"/>
        <v>0.23141762452107278</v>
      </c>
      <c r="K21" s="13" t="str">
        <f t="shared" si="2"/>
        <v>🔴 Over Budget</v>
      </c>
      <c r="L21" s="28" t="str">
        <f t="shared" si="3"/>
        <v>Overspend: review with dept head</v>
      </c>
    </row>
    <row r="22" spans="1:12" ht="15" customHeight="1" x14ac:dyDescent="0.45">
      <c r="A22" s="27" t="s">
        <v>990</v>
      </c>
      <c r="B22" s="14" t="s">
        <v>35</v>
      </c>
      <c r="C22" s="14" t="s">
        <v>105</v>
      </c>
      <c r="D22" s="14">
        <v>1</v>
      </c>
      <c r="E22" s="14" t="s">
        <v>66</v>
      </c>
      <c r="F22" s="14" t="s">
        <v>12</v>
      </c>
      <c r="G22" s="7">
        <v>36000</v>
      </c>
      <c r="H22" s="15">
        <f>SUMIFS(Raw_Actuals!$H:$H,Raw_Actuals!$E:$E,B22,Raw_Actuals!$F:$F,C22,Raw_Actuals!$B:$B,D22)</f>
        <v>41200</v>
      </c>
      <c r="I22" s="16">
        <f t="shared" si="0"/>
        <v>5200</v>
      </c>
      <c r="J22" s="17">
        <f t="shared" si="1"/>
        <v>0.14444444444444443</v>
      </c>
      <c r="K22" s="18" t="str">
        <f t="shared" si="2"/>
        <v>🟢 On Track</v>
      </c>
      <c r="L22" s="29" t="str">
        <f t="shared" si="3"/>
        <v/>
      </c>
    </row>
    <row r="23" spans="1:12" ht="15" customHeight="1" x14ac:dyDescent="0.45">
      <c r="A23" s="26" t="s">
        <v>991</v>
      </c>
      <c r="B23" s="9" t="s">
        <v>35</v>
      </c>
      <c r="C23" s="9" t="s">
        <v>36</v>
      </c>
      <c r="D23" s="9">
        <v>1</v>
      </c>
      <c r="E23" s="9" t="s">
        <v>66</v>
      </c>
      <c r="F23" s="9" t="s">
        <v>12</v>
      </c>
      <c r="G23" s="4">
        <v>27000</v>
      </c>
      <c r="H23" s="10">
        <f>SUMIFS(Raw_Actuals!$H:$H,Raw_Actuals!$E:$E,B23,Raw_Actuals!$F:$F,C23,Raw_Actuals!$B:$B,D23)</f>
        <v>33200</v>
      </c>
      <c r="I23" s="11">
        <f t="shared" si="0"/>
        <v>6200</v>
      </c>
      <c r="J23" s="12">
        <f t="shared" si="1"/>
        <v>0.22962962962962963</v>
      </c>
      <c r="K23" s="13" t="str">
        <f t="shared" si="2"/>
        <v>🔴 Over Budget</v>
      </c>
      <c r="L23" s="28" t="str">
        <f t="shared" si="3"/>
        <v>Overspend: review with dept head</v>
      </c>
    </row>
    <row r="24" spans="1:12" ht="15" customHeight="1" x14ac:dyDescent="0.45">
      <c r="A24" s="27" t="s">
        <v>992</v>
      </c>
      <c r="B24" s="14" t="s">
        <v>35</v>
      </c>
      <c r="C24" s="14" t="s">
        <v>75</v>
      </c>
      <c r="D24" s="14">
        <v>1</v>
      </c>
      <c r="E24" s="14" t="s">
        <v>66</v>
      </c>
      <c r="F24" s="14" t="s">
        <v>12</v>
      </c>
      <c r="G24" s="7">
        <v>14000</v>
      </c>
      <c r="H24" s="15">
        <f>SUMIFS(Raw_Actuals!$H:$H,Raw_Actuals!$E:$E,B24,Raw_Actuals!$F:$F,C24,Raw_Actuals!$B:$B,D24)</f>
        <v>16800</v>
      </c>
      <c r="I24" s="16">
        <f t="shared" si="0"/>
        <v>2800</v>
      </c>
      <c r="J24" s="17">
        <f t="shared" si="1"/>
        <v>0.2</v>
      </c>
      <c r="K24" s="18" t="str">
        <f t="shared" si="2"/>
        <v>🔴 Over Budget</v>
      </c>
      <c r="L24" s="29" t="str">
        <f t="shared" si="3"/>
        <v>Overspend: review with dept head</v>
      </c>
    </row>
    <row r="25" spans="1:12" ht="15" customHeight="1" x14ac:dyDescent="0.45">
      <c r="A25" s="26" t="s">
        <v>993</v>
      </c>
      <c r="B25" s="9" t="s">
        <v>71</v>
      </c>
      <c r="C25" s="9" t="s">
        <v>14</v>
      </c>
      <c r="D25" s="9">
        <v>1</v>
      </c>
      <c r="E25" s="9" t="s">
        <v>66</v>
      </c>
      <c r="F25" s="9" t="s">
        <v>12</v>
      </c>
      <c r="G25" s="4">
        <v>369000</v>
      </c>
      <c r="H25" s="10">
        <f>SUMIFS(Raw_Actuals!$H:$H,Raw_Actuals!$E:$E,B25,Raw_Actuals!$F:$F,C25,Raw_Actuals!$B:$B,D25)</f>
        <v>404300</v>
      </c>
      <c r="I25" s="11">
        <f t="shared" si="0"/>
        <v>35300</v>
      </c>
      <c r="J25" s="12">
        <f t="shared" si="1"/>
        <v>9.5663956639566394E-2</v>
      </c>
      <c r="K25" s="13" t="str">
        <f t="shared" si="2"/>
        <v>🟢 On Track</v>
      </c>
      <c r="L25" s="28" t="str">
        <f t="shared" si="3"/>
        <v/>
      </c>
    </row>
    <row r="26" spans="1:12" ht="15" customHeight="1" x14ac:dyDescent="0.45">
      <c r="A26" s="27" t="s">
        <v>994</v>
      </c>
      <c r="B26" s="14" t="s">
        <v>71</v>
      </c>
      <c r="C26" s="14" t="s">
        <v>88</v>
      </c>
      <c r="D26" s="14">
        <v>1</v>
      </c>
      <c r="E26" s="14" t="s">
        <v>66</v>
      </c>
      <c r="F26" s="14" t="s">
        <v>12</v>
      </c>
      <c r="G26" s="7">
        <v>180000</v>
      </c>
      <c r="H26" s="15">
        <f>SUMIFS(Raw_Actuals!$H:$H,Raw_Actuals!$E:$E,B26,Raw_Actuals!$F:$F,C26,Raw_Actuals!$B:$B,D26)</f>
        <v>187900</v>
      </c>
      <c r="I26" s="16">
        <f t="shared" si="0"/>
        <v>7900</v>
      </c>
      <c r="J26" s="17">
        <f t="shared" si="1"/>
        <v>4.3888888888888887E-2</v>
      </c>
      <c r="K26" s="18" t="str">
        <f t="shared" si="2"/>
        <v>🟢 On Track</v>
      </c>
      <c r="L26" s="29" t="str">
        <f t="shared" si="3"/>
        <v/>
      </c>
    </row>
    <row r="27" spans="1:12" ht="15" customHeight="1" x14ac:dyDescent="0.45">
      <c r="A27" s="26" t="s">
        <v>995</v>
      </c>
      <c r="B27" s="9" t="s">
        <v>71</v>
      </c>
      <c r="C27" s="9" t="s">
        <v>63</v>
      </c>
      <c r="D27" s="9">
        <v>1</v>
      </c>
      <c r="E27" s="9" t="s">
        <v>66</v>
      </c>
      <c r="F27" s="9" t="s">
        <v>12</v>
      </c>
      <c r="G27" s="4">
        <v>50000</v>
      </c>
      <c r="H27" s="10">
        <f>SUMIFS(Raw_Actuals!$H:$H,Raw_Actuals!$E:$E,B27,Raw_Actuals!$F:$F,C27,Raw_Actuals!$B:$B,D27)</f>
        <v>56600</v>
      </c>
      <c r="I27" s="11">
        <f t="shared" si="0"/>
        <v>6600</v>
      </c>
      <c r="J27" s="12">
        <f t="shared" si="1"/>
        <v>0.13200000000000001</v>
      </c>
      <c r="K27" s="13" t="str">
        <f t="shared" si="2"/>
        <v>🟢 On Track</v>
      </c>
      <c r="L27" s="28" t="str">
        <f t="shared" si="3"/>
        <v/>
      </c>
    </row>
    <row r="28" spans="1:12" ht="15" customHeight="1" x14ac:dyDescent="0.45">
      <c r="A28" s="27" t="s">
        <v>996</v>
      </c>
      <c r="B28" s="14" t="s">
        <v>71</v>
      </c>
      <c r="C28" s="14" t="s">
        <v>94</v>
      </c>
      <c r="D28" s="14">
        <v>1</v>
      </c>
      <c r="E28" s="14" t="s">
        <v>66</v>
      </c>
      <c r="F28" s="14" t="s">
        <v>12</v>
      </c>
      <c r="G28" s="7">
        <v>27000</v>
      </c>
      <c r="H28" s="15">
        <f>SUMIFS(Raw_Actuals!$H:$H,Raw_Actuals!$E:$E,B28,Raw_Actuals!$F:$F,C28,Raw_Actuals!$B:$B,D28)</f>
        <v>27800</v>
      </c>
      <c r="I28" s="16">
        <f t="shared" si="0"/>
        <v>800</v>
      </c>
      <c r="J28" s="17">
        <f t="shared" si="1"/>
        <v>2.9629629629629631E-2</v>
      </c>
      <c r="K28" s="18" t="str">
        <f t="shared" si="2"/>
        <v>🟢 On Track</v>
      </c>
      <c r="L28" s="29" t="str">
        <f t="shared" si="3"/>
        <v/>
      </c>
    </row>
    <row r="29" spans="1:12" ht="15" customHeight="1" x14ac:dyDescent="0.45">
      <c r="A29" s="26" t="s">
        <v>997</v>
      </c>
      <c r="B29" s="9" t="s">
        <v>57</v>
      </c>
      <c r="C29" s="9" t="s">
        <v>14</v>
      </c>
      <c r="D29" s="9">
        <v>2</v>
      </c>
      <c r="E29" s="9" t="s">
        <v>11</v>
      </c>
      <c r="F29" s="9" t="s">
        <v>12</v>
      </c>
      <c r="G29" s="4">
        <v>378000</v>
      </c>
      <c r="H29" s="10">
        <f>SUMIFS(Raw_Actuals!$H:$H,Raw_Actuals!$E:$E,B29,Raw_Actuals!$F:$F,C29,Raw_Actuals!$B:$B,D29)</f>
        <v>440100</v>
      </c>
      <c r="I29" s="11">
        <f t="shared" si="0"/>
        <v>62100</v>
      </c>
      <c r="J29" s="12">
        <f t="shared" si="1"/>
        <v>0.16428571428571428</v>
      </c>
      <c r="K29" s="13" t="str">
        <f t="shared" si="2"/>
        <v>🔴 Over Budget</v>
      </c>
      <c r="L29" s="28" t="str">
        <f t="shared" si="3"/>
        <v>Overspend: review with dept head</v>
      </c>
    </row>
    <row r="30" spans="1:12" ht="15" customHeight="1" x14ac:dyDescent="0.45">
      <c r="A30" s="27" t="s">
        <v>998</v>
      </c>
      <c r="B30" s="14" t="s">
        <v>57</v>
      </c>
      <c r="C30" s="14" t="s">
        <v>75</v>
      </c>
      <c r="D30" s="14">
        <v>2</v>
      </c>
      <c r="E30" s="14" t="s">
        <v>11</v>
      </c>
      <c r="F30" s="14" t="s">
        <v>12</v>
      </c>
      <c r="G30" s="7">
        <v>32000</v>
      </c>
      <c r="H30" s="15">
        <f>SUMIFS(Raw_Actuals!$H:$H,Raw_Actuals!$E:$E,B30,Raw_Actuals!$F:$F,C30,Raw_Actuals!$B:$B,D30)</f>
        <v>31900</v>
      </c>
      <c r="I30" s="16">
        <f t="shared" si="0"/>
        <v>-100</v>
      </c>
      <c r="J30" s="17">
        <f t="shared" si="1"/>
        <v>-3.1250000000000002E-3</v>
      </c>
      <c r="K30" s="18" t="str">
        <f t="shared" si="2"/>
        <v>🟢 On Track</v>
      </c>
      <c r="L30" s="29" t="str">
        <f t="shared" si="3"/>
        <v/>
      </c>
    </row>
    <row r="31" spans="1:12" ht="15" customHeight="1" x14ac:dyDescent="0.45">
      <c r="A31" s="26" t="s">
        <v>999</v>
      </c>
      <c r="B31" s="9" t="s">
        <v>57</v>
      </c>
      <c r="C31" s="9" t="s">
        <v>85</v>
      </c>
      <c r="D31" s="9">
        <v>2</v>
      </c>
      <c r="E31" s="9" t="s">
        <v>11</v>
      </c>
      <c r="F31" s="9" t="s">
        <v>12</v>
      </c>
      <c r="G31" s="4">
        <v>50000</v>
      </c>
      <c r="H31" s="10">
        <f>SUMIFS(Raw_Actuals!$H:$H,Raw_Actuals!$E:$E,B31,Raw_Actuals!$F:$F,C31,Raw_Actuals!$B:$B,D31)</f>
        <v>54200</v>
      </c>
      <c r="I31" s="11">
        <f t="shared" si="0"/>
        <v>4200</v>
      </c>
      <c r="J31" s="12">
        <f t="shared" si="1"/>
        <v>8.4000000000000005E-2</v>
      </c>
      <c r="K31" s="13" t="str">
        <f t="shared" si="2"/>
        <v>🟢 On Track</v>
      </c>
      <c r="L31" s="28" t="str">
        <f t="shared" si="3"/>
        <v/>
      </c>
    </row>
    <row r="32" spans="1:12" ht="15" customHeight="1" x14ac:dyDescent="0.45">
      <c r="A32" s="27" t="s">
        <v>1000</v>
      </c>
      <c r="B32" s="14" t="s">
        <v>57</v>
      </c>
      <c r="C32" s="14" t="s">
        <v>63</v>
      </c>
      <c r="D32" s="14">
        <v>2</v>
      </c>
      <c r="E32" s="14" t="s">
        <v>11</v>
      </c>
      <c r="F32" s="14" t="s">
        <v>12</v>
      </c>
      <c r="G32" s="7">
        <v>16000</v>
      </c>
      <c r="H32" s="15">
        <f>SUMIFS(Raw_Actuals!$H:$H,Raw_Actuals!$E:$E,B32,Raw_Actuals!$F:$F,C32,Raw_Actuals!$B:$B,D32)</f>
        <v>18500</v>
      </c>
      <c r="I32" s="16">
        <f t="shared" si="0"/>
        <v>2500</v>
      </c>
      <c r="J32" s="17">
        <f t="shared" si="1"/>
        <v>0.15625</v>
      </c>
      <c r="K32" s="18" t="str">
        <f t="shared" si="2"/>
        <v>🔴 Over Budget</v>
      </c>
      <c r="L32" s="29" t="str">
        <f t="shared" si="3"/>
        <v>Overspend: review with dept head</v>
      </c>
    </row>
    <row r="33" spans="1:12" ht="15" customHeight="1" x14ac:dyDescent="0.45">
      <c r="A33" s="26" t="s">
        <v>1001</v>
      </c>
      <c r="B33" s="9" t="s">
        <v>13</v>
      </c>
      <c r="C33" s="9" t="s">
        <v>14</v>
      </c>
      <c r="D33" s="9">
        <v>2</v>
      </c>
      <c r="E33" s="9" t="s">
        <v>11</v>
      </c>
      <c r="F33" s="9" t="s">
        <v>12</v>
      </c>
      <c r="G33" s="4">
        <v>342000</v>
      </c>
      <c r="H33" s="10">
        <f>SUMIFS(Raw_Actuals!$H:$H,Raw_Actuals!$E:$E,B33,Raw_Actuals!$F:$F,C33,Raw_Actuals!$B:$B,D33)</f>
        <v>403700</v>
      </c>
      <c r="I33" s="11">
        <f t="shared" si="0"/>
        <v>61700</v>
      </c>
      <c r="J33" s="12">
        <f t="shared" si="1"/>
        <v>0.18040935672514619</v>
      </c>
      <c r="K33" s="13" t="str">
        <f t="shared" si="2"/>
        <v>🔴 Over Budget</v>
      </c>
      <c r="L33" s="28" t="str">
        <f t="shared" si="3"/>
        <v>Overspend: review with dept head</v>
      </c>
    </row>
    <row r="34" spans="1:12" ht="15" customHeight="1" x14ac:dyDescent="0.45">
      <c r="A34" s="27" t="s">
        <v>1002</v>
      </c>
      <c r="B34" s="14" t="s">
        <v>13</v>
      </c>
      <c r="C34" s="14" t="s">
        <v>102</v>
      </c>
      <c r="D34" s="14">
        <v>2</v>
      </c>
      <c r="E34" s="14" t="s">
        <v>11</v>
      </c>
      <c r="F34" s="14" t="s">
        <v>12</v>
      </c>
      <c r="G34" s="7">
        <v>135000</v>
      </c>
      <c r="H34" s="15">
        <f>SUMIFS(Raw_Actuals!$H:$H,Raw_Actuals!$E:$E,B34,Raw_Actuals!$F:$F,C34,Raw_Actuals!$B:$B,D34)</f>
        <v>130700</v>
      </c>
      <c r="I34" s="16">
        <f t="shared" si="0"/>
        <v>-4300</v>
      </c>
      <c r="J34" s="17">
        <f t="shared" si="1"/>
        <v>-3.1851851851851853E-2</v>
      </c>
      <c r="K34" s="18" t="str">
        <f t="shared" si="2"/>
        <v>🟢 On Track</v>
      </c>
      <c r="L34" s="29" t="str">
        <f t="shared" si="3"/>
        <v/>
      </c>
    </row>
    <row r="35" spans="1:12" ht="15" customHeight="1" x14ac:dyDescent="0.45">
      <c r="A35" s="26" t="s">
        <v>1003</v>
      </c>
      <c r="B35" s="9" t="s">
        <v>13</v>
      </c>
      <c r="C35" s="9" t="s">
        <v>50</v>
      </c>
      <c r="D35" s="9">
        <v>2</v>
      </c>
      <c r="E35" s="9" t="s">
        <v>11</v>
      </c>
      <c r="F35" s="9" t="s">
        <v>12</v>
      </c>
      <c r="G35" s="4">
        <v>63000</v>
      </c>
      <c r="H35" s="10">
        <f>SUMIFS(Raw_Actuals!$H:$H,Raw_Actuals!$E:$E,B35,Raw_Actuals!$F:$F,C35,Raw_Actuals!$B:$B,D35)</f>
        <v>70900</v>
      </c>
      <c r="I35" s="11">
        <f t="shared" si="0"/>
        <v>7900</v>
      </c>
      <c r="J35" s="12">
        <f t="shared" si="1"/>
        <v>0.1253968253968254</v>
      </c>
      <c r="K35" s="13" t="str">
        <f t="shared" si="2"/>
        <v>🟢 On Track</v>
      </c>
      <c r="L35" s="28" t="str">
        <f t="shared" si="3"/>
        <v/>
      </c>
    </row>
    <row r="36" spans="1:12" ht="15" customHeight="1" x14ac:dyDescent="0.45">
      <c r="A36" s="27" t="s">
        <v>1004</v>
      </c>
      <c r="B36" s="14" t="s">
        <v>13</v>
      </c>
      <c r="C36" s="14" t="s">
        <v>63</v>
      </c>
      <c r="D36" s="14">
        <v>2</v>
      </c>
      <c r="E36" s="14" t="s">
        <v>11</v>
      </c>
      <c r="F36" s="14" t="s">
        <v>12</v>
      </c>
      <c r="G36" s="7">
        <v>22000</v>
      </c>
      <c r="H36" s="15">
        <f>SUMIFS(Raw_Actuals!$H:$H,Raw_Actuals!$E:$E,B36,Raw_Actuals!$F:$F,C36,Raw_Actuals!$B:$B,D36)</f>
        <v>21900</v>
      </c>
      <c r="I36" s="16">
        <f t="shared" si="0"/>
        <v>-100</v>
      </c>
      <c r="J36" s="17">
        <f t="shared" si="1"/>
        <v>-4.5454545454545452E-3</v>
      </c>
      <c r="K36" s="18" t="str">
        <f t="shared" si="2"/>
        <v>🟢 On Track</v>
      </c>
      <c r="L36" s="29" t="str">
        <f t="shared" si="3"/>
        <v/>
      </c>
    </row>
    <row r="37" spans="1:12" x14ac:dyDescent="0.45">
      <c r="A37" s="26" t="s">
        <v>1005</v>
      </c>
      <c r="B37" s="9" t="s">
        <v>24</v>
      </c>
      <c r="C37" s="9" t="s">
        <v>14</v>
      </c>
      <c r="D37" s="9">
        <v>2</v>
      </c>
      <c r="E37" s="9" t="s">
        <v>11</v>
      </c>
      <c r="F37" s="9" t="s">
        <v>12</v>
      </c>
      <c r="G37" s="4">
        <v>450000</v>
      </c>
      <c r="H37" s="10">
        <f>SUMIFS(Raw_Actuals!$H:$H,Raw_Actuals!$E:$E,B37,Raw_Actuals!$F:$F,C37,Raw_Actuals!$B:$B,D37)</f>
        <v>523000</v>
      </c>
      <c r="I37" s="11">
        <f t="shared" si="0"/>
        <v>73000</v>
      </c>
      <c r="J37" s="12">
        <f t="shared" si="1"/>
        <v>0.16222222222222221</v>
      </c>
      <c r="K37" s="13" t="str">
        <f t="shared" si="2"/>
        <v>🔴 Over Budget</v>
      </c>
      <c r="L37" s="28" t="str">
        <f t="shared" si="3"/>
        <v>Overspend: review with dept head</v>
      </c>
    </row>
    <row r="38" spans="1:12" x14ac:dyDescent="0.45">
      <c r="A38" s="27" t="s">
        <v>1006</v>
      </c>
      <c r="B38" s="14" t="s">
        <v>24</v>
      </c>
      <c r="C38" s="14" t="s">
        <v>36</v>
      </c>
      <c r="D38" s="14">
        <v>2</v>
      </c>
      <c r="E38" s="14" t="s">
        <v>11</v>
      </c>
      <c r="F38" s="14" t="s">
        <v>12</v>
      </c>
      <c r="G38" s="7">
        <v>81000</v>
      </c>
      <c r="H38" s="15">
        <f>SUMIFS(Raw_Actuals!$H:$H,Raw_Actuals!$E:$E,B38,Raw_Actuals!$F:$F,C38,Raw_Actuals!$B:$B,D38)</f>
        <v>91000</v>
      </c>
      <c r="I38" s="16">
        <f t="shared" si="0"/>
        <v>10000</v>
      </c>
      <c r="J38" s="17">
        <f t="shared" si="1"/>
        <v>0.12345679012345678</v>
      </c>
      <c r="K38" s="18" t="str">
        <f t="shared" si="2"/>
        <v>🟢 On Track</v>
      </c>
      <c r="L38" s="29" t="str">
        <f t="shared" si="3"/>
        <v/>
      </c>
    </row>
    <row r="39" spans="1:12" x14ac:dyDescent="0.45">
      <c r="A39" s="26" t="s">
        <v>1007</v>
      </c>
      <c r="B39" s="9" t="s">
        <v>24</v>
      </c>
      <c r="C39" s="9" t="s">
        <v>25</v>
      </c>
      <c r="D39" s="9">
        <v>2</v>
      </c>
      <c r="E39" s="9" t="s">
        <v>11</v>
      </c>
      <c r="F39" s="9" t="s">
        <v>12</v>
      </c>
      <c r="G39" s="4">
        <v>72000</v>
      </c>
      <c r="H39" s="10">
        <f>SUMIFS(Raw_Actuals!$H:$H,Raw_Actuals!$E:$E,B39,Raw_Actuals!$F:$F,C39,Raw_Actuals!$B:$B,D39)</f>
        <v>74000</v>
      </c>
      <c r="I39" s="11">
        <f t="shared" si="0"/>
        <v>2000</v>
      </c>
      <c r="J39" s="12">
        <f t="shared" si="1"/>
        <v>2.7777777777777776E-2</v>
      </c>
      <c r="K39" s="13" t="str">
        <f t="shared" si="2"/>
        <v>🟢 On Track</v>
      </c>
      <c r="L39" s="28" t="str">
        <f t="shared" si="3"/>
        <v/>
      </c>
    </row>
    <row r="40" spans="1:12" ht="15" customHeight="1" x14ac:dyDescent="0.45">
      <c r="A40" s="27" t="s">
        <v>1008</v>
      </c>
      <c r="B40" s="14" t="s">
        <v>24</v>
      </c>
      <c r="C40" s="14" t="s">
        <v>44</v>
      </c>
      <c r="D40" s="14">
        <v>2</v>
      </c>
      <c r="E40" s="14" t="s">
        <v>11</v>
      </c>
      <c r="F40" s="14" t="s">
        <v>12</v>
      </c>
      <c r="G40" s="7">
        <v>99000</v>
      </c>
      <c r="H40" s="15">
        <f>SUMIFS(Raw_Actuals!$H:$H,Raw_Actuals!$E:$E,B40,Raw_Actuals!$F:$F,C40,Raw_Actuals!$B:$B,D40)</f>
        <v>95300</v>
      </c>
      <c r="I40" s="16">
        <f t="shared" si="0"/>
        <v>-3700</v>
      </c>
      <c r="J40" s="17">
        <f t="shared" si="1"/>
        <v>-3.7373737373737372E-2</v>
      </c>
      <c r="K40" s="18" t="str">
        <f t="shared" si="2"/>
        <v>🟢 On Track</v>
      </c>
      <c r="L40" s="29" t="str">
        <f t="shared" si="3"/>
        <v/>
      </c>
    </row>
    <row r="41" spans="1:12" ht="15" customHeight="1" x14ac:dyDescent="0.45">
      <c r="A41" s="26" t="s">
        <v>1009</v>
      </c>
      <c r="B41" s="9" t="s">
        <v>19</v>
      </c>
      <c r="C41" s="9" t="s">
        <v>14</v>
      </c>
      <c r="D41" s="9">
        <v>2</v>
      </c>
      <c r="E41" s="9" t="s">
        <v>11</v>
      </c>
      <c r="F41" s="9" t="s">
        <v>12</v>
      </c>
      <c r="G41" s="4">
        <v>315000</v>
      </c>
      <c r="H41" s="10">
        <f>SUMIFS(Raw_Actuals!$H:$H,Raw_Actuals!$E:$E,B41,Raw_Actuals!$F:$F,C41,Raw_Actuals!$B:$B,D41)</f>
        <v>348100</v>
      </c>
      <c r="I41" s="11">
        <f t="shared" si="0"/>
        <v>33100</v>
      </c>
      <c r="J41" s="12">
        <f t="shared" si="1"/>
        <v>0.10507936507936508</v>
      </c>
      <c r="K41" s="13" t="str">
        <f t="shared" si="2"/>
        <v>🟢 On Track</v>
      </c>
      <c r="L41" s="28" t="str">
        <f t="shared" si="3"/>
        <v/>
      </c>
    </row>
    <row r="42" spans="1:12" ht="15" customHeight="1" x14ac:dyDescent="0.45">
      <c r="A42" s="27" t="s">
        <v>1010</v>
      </c>
      <c r="B42" s="14" t="s">
        <v>19</v>
      </c>
      <c r="C42" s="14" t="s">
        <v>53</v>
      </c>
      <c r="D42" s="14">
        <v>2</v>
      </c>
      <c r="E42" s="14" t="s">
        <v>11</v>
      </c>
      <c r="F42" s="14" t="s">
        <v>12</v>
      </c>
      <c r="G42" s="7">
        <v>54000</v>
      </c>
      <c r="H42" s="15">
        <f>SUMIFS(Raw_Actuals!$H:$H,Raw_Actuals!$E:$E,B42,Raw_Actuals!$F:$F,C42,Raw_Actuals!$B:$B,D42)</f>
        <v>42000</v>
      </c>
      <c r="I42" s="16">
        <f t="shared" si="0"/>
        <v>-12000</v>
      </c>
      <c r="J42" s="17">
        <f t="shared" si="1"/>
        <v>-0.22222222222222221</v>
      </c>
      <c r="K42" s="18" t="str">
        <f t="shared" si="2"/>
        <v>🟡 Under Budget</v>
      </c>
      <c r="L42" s="29" t="str">
        <f t="shared" si="3"/>
        <v>Underspend: check if deferred</v>
      </c>
    </row>
    <row r="43" spans="1:12" ht="15" customHeight="1" x14ac:dyDescent="0.45">
      <c r="A43" s="26" t="s">
        <v>1011</v>
      </c>
      <c r="B43" s="9" t="s">
        <v>19</v>
      </c>
      <c r="C43" s="9" t="s">
        <v>31</v>
      </c>
      <c r="D43" s="9">
        <v>2</v>
      </c>
      <c r="E43" s="9" t="s">
        <v>11</v>
      </c>
      <c r="F43" s="9" t="s">
        <v>12</v>
      </c>
      <c r="G43" s="4">
        <v>40000</v>
      </c>
      <c r="H43" s="10">
        <f>SUMIFS(Raw_Actuals!$H:$H,Raw_Actuals!$E:$E,B43,Raw_Actuals!$F:$F,C43,Raw_Actuals!$B:$B,D43)</f>
        <v>47900</v>
      </c>
      <c r="I43" s="11">
        <f t="shared" si="0"/>
        <v>7900</v>
      </c>
      <c r="J43" s="12">
        <f t="shared" si="1"/>
        <v>0.19750000000000001</v>
      </c>
      <c r="K43" s="13" t="str">
        <f t="shared" si="2"/>
        <v>🔴 Over Budget</v>
      </c>
      <c r="L43" s="28" t="str">
        <f t="shared" si="3"/>
        <v>Overspend: review with dept head</v>
      </c>
    </row>
    <row r="44" spans="1:12" ht="15" customHeight="1" x14ac:dyDescent="0.45">
      <c r="A44" s="27" t="s">
        <v>1012</v>
      </c>
      <c r="B44" s="14" t="s">
        <v>19</v>
      </c>
      <c r="C44" s="14" t="s">
        <v>63</v>
      </c>
      <c r="D44" s="14">
        <v>2</v>
      </c>
      <c r="E44" s="14" t="s">
        <v>11</v>
      </c>
      <c r="F44" s="14" t="s">
        <v>12</v>
      </c>
      <c r="G44" s="7">
        <v>18000</v>
      </c>
      <c r="H44" s="15">
        <f>SUMIFS(Raw_Actuals!$H:$H,Raw_Actuals!$E:$E,B44,Raw_Actuals!$F:$F,C44,Raw_Actuals!$B:$B,D44)</f>
        <v>20500</v>
      </c>
      <c r="I44" s="16">
        <f t="shared" si="0"/>
        <v>2500</v>
      </c>
      <c r="J44" s="17">
        <f t="shared" si="1"/>
        <v>0.1388888888888889</v>
      </c>
      <c r="K44" s="18" t="str">
        <f t="shared" si="2"/>
        <v>🟢 On Track</v>
      </c>
      <c r="L44" s="29" t="str">
        <f t="shared" si="3"/>
        <v/>
      </c>
    </row>
    <row r="45" spans="1:12" ht="15" customHeight="1" x14ac:dyDescent="0.45">
      <c r="A45" s="26" t="s">
        <v>1013</v>
      </c>
      <c r="B45" s="9" t="s">
        <v>35</v>
      </c>
      <c r="C45" s="9" t="s">
        <v>14</v>
      </c>
      <c r="D45" s="9">
        <v>2</v>
      </c>
      <c r="E45" s="9" t="s">
        <v>11</v>
      </c>
      <c r="F45" s="9" t="s">
        <v>12</v>
      </c>
      <c r="G45" s="4">
        <v>261000</v>
      </c>
      <c r="H45" s="10">
        <f>SUMIFS(Raw_Actuals!$H:$H,Raw_Actuals!$E:$E,B45,Raw_Actuals!$F:$F,C45,Raw_Actuals!$B:$B,D45)</f>
        <v>251400</v>
      </c>
      <c r="I45" s="11">
        <f t="shared" si="0"/>
        <v>-9600</v>
      </c>
      <c r="J45" s="12">
        <f t="shared" si="1"/>
        <v>-3.6781609195402298E-2</v>
      </c>
      <c r="K45" s="13" t="str">
        <f t="shared" si="2"/>
        <v>🟢 On Track</v>
      </c>
      <c r="L45" s="28" t="str">
        <f t="shared" si="3"/>
        <v/>
      </c>
    </row>
    <row r="46" spans="1:12" ht="15" customHeight="1" x14ac:dyDescent="0.45">
      <c r="A46" s="27" t="s">
        <v>1014</v>
      </c>
      <c r="B46" s="14" t="s">
        <v>35</v>
      </c>
      <c r="C46" s="14" t="s">
        <v>105</v>
      </c>
      <c r="D46" s="14">
        <v>2</v>
      </c>
      <c r="E46" s="14" t="s">
        <v>11</v>
      </c>
      <c r="F46" s="14" t="s">
        <v>12</v>
      </c>
      <c r="G46" s="7">
        <v>36000</v>
      </c>
      <c r="H46" s="15">
        <f>SUMIFS(Raw_Actuals!$H:$H,Raw_Actuals!$E:$E,B46,Raw_Actuals!$F:$F,C46,Raw_Actuals!$B:$B,D46)</f>
        <v>45300</v>
      </c>
      <c r="I46" s="16">
        <f t="shared" si="0"/>
        <v>9300</v>
      </c>
      <c r="J46" s="17">
        <f t="shared" si="1"/>
        <v>0.25833333333333336</v>
      </c>
      <c r="K46" s="18" t="str">
        <f t="shared" si="2"/>
        <v>🔴 Over Budget</v>
      </c>
      <c r="L46" s="29" t="str">
        <f t="shared" si="3"/>
        <v>Overspend: review with dept head</v>
      </c>
    </row>
    <row r="47" spans="1:12" ht="15" customHeight="1" x14ac:dyDescent="0.45">
      <c r="A47" s="26" t="s">
        <v>1015</v>
      </c>
      <c r="B47" s="9" t="s">
        <v>35</v>
      </c>
      <c r="C47" s="9" t="s">
        <v>36</v>
      </c>
      <c r="D47" s="9">
        <v>2</v>
      </c>
      <c r="E47" s="9" t="s">
        <v>11</v>
      </c>
      <c r="F47" s="9" t="s">
        <v>12</v>
      </c>
      <c r="G47" s="4">
        <v>27000</v>
      </c>
      <c r="H47" s="10">
        <f>SUMIFS(Raw_Actuals!$H:$H,Raw_Actuals!$E:$E,B47,Raw_Actuals!$F:$F,C47,Raw_Actuals!$B:$B,D47)</f>
        <v>30300</v>
      </c>
      <c r="I47" s="11">
        <f t="shared" si="0"/>
        <v>3300</v>
      </c>
      <c r="J47" s="12">
        <f t="shared" si="1"/>
        <v>0.12222222222222222</v>
      </c>
      <c r="K47" s="13" t="str">
        <f t="shared" si="2"/>
        <v>🟢 On Track</v>
      </c>
      <c r="L47" s="28" t="str">
        <f t="shared" si="3"/>
        <v/>
      </c>
    </row>
    <row r="48" spans="1:12" ht="15" customHeight="1" x14ac:dyDescent="0.45">
      <c r="A48" s="27" t="s">
        <v>1016</v>
      </c>
      <c r="B48" s="14" t="s">
        <v>35</v>
      </c>
      <c r="C48" s="14" t="s">
        <v>75</v>
      </c>
      <c r="D48" s="14">
        <v>2</v>
      </c>
      <c r="E48" s="14" t="s">
        <v>11</v>
      </c>
      <c r="F48" s="14" t="s">
        <v>12</v>
      </c>
      <c r="G48" s="7">
        <v>14000</v>
      </c>
      <c r="H48" s="15">
        <f>SUMIFS(Raw_Actuals!$H:$H,Raw_Actuals!$E:$E,B48,Raw_Actuals!$F:$F,C48,Raw_Actuals!$B:$B,D48)</f>
        <v>13300</v>
      </c>
      <c r="I48" s="16">
        <f t="shared" si="0"/>
        <v>-700</v>
      </c>
      <c r="J48" s="17">
        <f t="shared" si="1"/>
        <v>-0.05</v>
      </c>
      <c r="K48" s="18" t="str">
        <f t="shared" si="2"/>
        <v>🟢 On Track</v>
      </c>
      <c r="L48" s="29" t="str">
        <f t="shared" si="3"/>
        <v/>
      </c>
    </row>
    <row r="49" spans="1:12" ht="15" customHeight="1" x14ac:dyDescent="0.45">
      <c r="A49" s="26" t="s">
        <v>1017</v>
      </c>
      <c r="B49" s="9" t="s">
        <v>71</v>
      </c>
      <c r="C49" s="9" t="s">
        <v>14</v>
      </c>
      <c r="D49" s="9">
        <v>2</v>
      </c>
      <c r="E49" s="9" t="s">
        <v>11</v>
      </c>
      <c r="F49" s="9" t="s">
        <v>12</v>
      </c>
      <c r="G49" s="4">
        <v>369000</v>
      </c>
      <c r="H49" s="10">
        <f>SUMIFS(Raw_Actuals!$H:$H,Raw_Actuals!$E:$E,B49,Raw_Actuals!$F:$F,C49,Raw_Actuals!$B:$B,D49)</f>
        <v>471300</v>
      </c>
      <c r="I49" s="11">
        <f t="shared" si="0"/>
        <v>102300</v>
      </c>
      <c r="J49" s="12">
        <f t="shared" si="1"/>
        <v>0.27723577235772356</v>
      </c>
      <c r="K49" s="13" t="str">
        <f t="shared" si="2"/>
        <v>🔴 Over Budget</v>
      </c>
      <c r="L49" s="28" t="str">
        <f t="shared" si="3"/>
        <v>Overspend: review with dept head</v>
      </c>
    </row>
    <row r="50" spans="1:12" ht="15" customHeight="1" x14ac:dyDescent="0.45">
      <c r="A50" s="27" t="s">
        <v>1018</v>
      </c>
      <c r="B50" s="14" t="s">
        <v>71</v>
      </c>
      <c r="C50" s="14" t="s">
        <v>88</v>
      </c>
      <c r="D50" s="14">
        <v>2</v>
      </c>
      <c r="E50" s="14" t="s">
        <v>11</v>
      </c>
      <c r="F50" s="14" t="s">
        <v>12</v>
      </c>
      <c r="G50" s="7">
        <v>180000</v>
      </c>
      <c r="H50" s="15">
        <f>SUMIFS(Raw_Actuals!$H:$H,Raw_Actuals!$E:$E,B50,Raw_Actuals!$F:$F,C50,Raw_Actuals!$B:$B,D50)</f>
        <v>185900</v>
      </c>
      <c r="I50" s="16">
        <f t="shared" si="0"/>
        <v>5900</v>
      </c>
      <c r="J50" s="17">
        <f t="shared" si="1"/>
        <v>3.2777777777777781E-2</v>
      </c>
      <c r="K50" s="18" t="str">
        <f t="shared" si="2"/>
        <v>🟢 On Track</v>
      </c>
      <c r="L50" s="29" t="str">
        <f t="shared" si="3"/>
        <v/>
      </c>
    </row>
    <row r="51" spans="1:12" ht="15" customHeight="1" x14ac:dyDescent="0.45">
      <c r="A51" s="26" t="s">
        <v>1019</v>
      </c>
      <c r="B51" s="9" t="s">
        <v>71</v>
      </c>
      <c r="C51" s="9" t="s">
        <v>63</v>
      </c>
      <c r="D51" s="9">
        <v>2</v>
      </c>
      <c r="E51" s="9" t="s">
        <v>11</v>
      </c>
      <c r="F51" s="9" t="s">
        <v>12</v>
      </c>
      <c r="G51" s="4">
        <v>50000</v>
      </c>
      <c r="H51" s="10">
        <f>SUMIFS(Raw_Actuals!$H:$H,Raw_Actuals!$E:$E,B51,Raw_Actuals!$F:$F,C51,Raw_Actuals!$B:$B,D51)</f>
        <v>54000</v>
      </c>
      <c r="I51" s="11">
        <f t="shared" si="0"/>
        <v>4000</v>
      </c>
      <c r="J51" s="12">
        <f t="shared" si="1"/>
        <v>0.08</v>
      </c>
      <c r="K51" s="13" t="str">
        <f t="shared" si="2"/>
        <v>🟢 On Track</v>
      </c>
      <c r="L51" s="28" t="str">
        <f t="shared" si="3"/>
        <v/>
      </c>
    </row>
    <row r="52" spans="1:12" ht="15" customHeight="1" x14ac:dyDescent="0.45">
      <c r="A52" s="27" t="s">
        <v>1020</v>
      </c>
      <c r="B52" s="14" t="s">
        <v>71</v>
      </c>
      <c r="C52" s="14" t="s">
        <v>94</v>
      </c>
      <c r="D52" s="14">
        <v>2</v>
      </c>
      <c r="E52" s="14" t="s">
        <v>11</v>
      </c>
      <c r="F52" s="14" t="s">
        <v>12</v>
      </c>
      <c r="G52" s="7">
        <v>27000</v>
      </c>
      <c r="H52" s="15">
        <f>SUMIFS(Raw_Actuals!$H:$H,Raw_Actuals!$E:$E,B52,Raw_Actuals!$F:$F,C52,Raw_Actuals!$B:$B,D52)</f>
        <v>32800</v>
      </c>
      <c r="I52" s="16">
        <f t="shared" si="0"/>
        <v>5800</v>
      </c>
      <c r="J52" s="17">
        <f t="shared" si="1"/>
        <v>0.21481481481481482</v>
      </c>
      <c r="K52" s="18" t="str">
        <f t="shared" si="2"/>
        <v>🔴 Over Budget</v>
      </c>
      <c r="L52" s="29" t="str">
        <f t="shared" si="3"/>
        <v>Overspend: review with dept head</v>
      </c>
    </row>
    <row r="53" spans="1:12" ht="15" customHeight="1" x14ac:dyDescent="0.45">
      <c r="A53" s="26" t="s">
        <v>1021</v>
      </c>
      <c r="B53" s="9" t="s">
        <v>57</v>
      </c>
      <c r="C53" s="9" t="s">
        <v>14</v>
      </c>
      <c r="D53" s="9">
        <v>3</v>
      </c>
      <c r="E53" s="9" t="s">
        <v>18</v>
      </c>
      <c r="F53" s="9" t="s">
        <v>12</v>
      </c>
      <c r="G53" s="4">
        <v>462000</v>
      </c>
      <c r="H53" s="10">
        <f>SUMIFS(Raw_Actuals!$H:$H,Raw_Actuals!$E:$E,B53,Raw_Actuals!$F:$F,C53,Raw_Actuals!$B:$B,D53)</f>
        <v>469200</v>
      </c>
      <c r="I53" s="11">
        <f t="shared" si="0"/>
        <v>7200</v>
      </c>
      <c r="J53" s="12">
        <f t="shared" si="1"/>
        <v>1.5584415584415584E-2</v>
      </c>
      <c r="K53" s="13" t="str">
        <f t="shared" si="2"/>
        <v>🟢 On Track</v>
      </c>
      <c r="L53" s="28" t="str">
        <f t="shared" si="3"/>
        <v/>
      </c>
    </row>
    <row r="54" spans="1:12" ht="15" customHeight="1" x14ac:dyDescent="0.45">
      <c r="A54" s="27" t="s">
        <v>1022</v>
      </c>
      <c r="B54" s="14" t="s">
        <v>57</v>
      </c>
      <c r="C54" s="14" t="s">
        <v>75</v>
      </c>
      <c r="D54" s="14">
        <v>3</v>
      </c>
      <c r="E54" s="14" t="s">
        <v>18</v>
      </c>
      <c r="F54" s="14" t="s">
        <v>12</v>
      </c>
      <c r="G54" s="7">
        <v>38000</v>
      </c>
      <c r="H54" s="15">
        <f>SUMIFS(Raw_Actuals!$H:$H,Raw_Actuals!$E:$E,B54,Raw_Actuals!$F:$F,C54,Raw_Actuals!$B:$B,D54)</f>
        <v>36400</v>
      </c>
      <c r="I54" s="16">
        <f t="shared" si="0"/>
        <v>-1600</v>
      </c>
      <c r="J54" s="17">
        <f t="shared" si="1"/>
        <v>-4.2105263157894736E-2</v>
      </c>
      <c r="K54" s="18" t="str">
        <f t="shared" si="2"/>
        <v>🟢 On Track</v>
      </c>
      <c r="L54" s="29" t="str">
        <f t="shared" si="3"/>
        <v/>
      </c>
    </row>
    <row r="55" spans="1:12" ht="15" customHeight="1" x14ac:dyDescent="0.45">
      <c r="A55" s="26" t="s">
        <v>1023</v>
      </c>
      <c r="B55" s="9" t="s">
        <v>57</v>
      </c>
      <c r="C55" s="9" t="s">
        <v>85</v>
      </c>
      <c r="D55" s="9">
        <v>3</v>
      </c>
      <c r="E55" s="9" t="s">
        <v>18</v>
      </c>
      <c r="F55" s="9" t="s">
        <v>12</v>
      </c>
      <c r="G55" s="4">
        <v>61000</v>
      </c>
      <c r="H55" s="10">
        <f>SUMIFS(Raw_Actuals!$H:$H,Raw_Actuals!$E:$E,B55,Raw_Actuals!$F:$F,C55,Raw_Actuals!$B:$B,D55)</f>
        <v>53800</v>
      </c>
      <c r="I55" s="11">
        <f t="shared" si="0"/>
        <v>-7200</v>
      </c>
      <c r="J55" s="12">
        <f t="shared" si="1"/>
        <v>-0.11803278688524591</v>
      </c>
      <c r="K55" s="13" t="str">
        <f t="shared" si="2"/>
        <v>🟡 Under Budget</v>
      </c>
      <c r="L55" s="28" t="str">
        <f t="shared" si="3"/>
        <v>Underspend: check if deferred</v>
      </c>
    </row>
    <row r="56" spans="1:12" ht="15" customHeight="1" x14ac:dyDescent="0.45">
      <c r="A56" s="27" t="s">
        <v>1024</v>
      </c>
      <c r="B56" s="14" t="s">
        <v>57</v>
      </c>
      <c r="C56" s="14" t="s">
        <v>63</v>
      </c>
      <c r="D56" s="14">
        <v>3</v>
      </c>
      <c r="E56" s="14" t="s">
        <v>18</v>
      </c>
      <c r="F56" s="14" t="s">
        <v>12</v>
      </c>
      <c r="G56" s="7">
        <v>20000</v>
      </c>
      <c r="H56" s="15">
        <f>SUMIFS(Raw_Actuals!$H:$H,Raw_Actuals!$E:$E,B56,Raw_Actuals!$F:$F,C56,Raw_Actuals!$B:$B,D56)</f>
        <v>16200</v>
      </c>
      <c r="I56" s="16">
        <f t="shared" si="0"/>
        <v>-3800</v>
      </c>
      <c r="J56" s="17">
        <f t="shared" si="1"/>
        <v>-0.19</v>
      </c>
      <c r="K56" s="18" t="str">
        <f t="shared" si="2"/>
        <v>🟡 Under Budget</v>
      </c>
      <c r="L56" s="29" t="str">
        <f t="shared" si="3"/>
        <v>Underspend: check if deferred</v>
      </c>
    </row>
    <row r="57" spans="1:12" ht="15" customHeight="1" x14ac:dyDescent="0.45">
      <c r="A57" s="26" t="s">
        <v>1025</v>
      </c>
      <c r="B57" s="9" t="s">
        <v>13</v>
      </c>
      <c r="C57" s="9" t="s">
        <v>14</v>
      </c>
      <c r="D57" s="9">
        <v>3</v>
      </c>
      <c r="E57" s="9" t="s">
        <v>18</v>
      </c>
      <c r="F57" s="9" t="s">
        <v>12</v>
      </c>
      <c r="G57" s="4">
        <v>418000</v>
      </c>
      <c r="H57" s="10">
        <f>SUMIFS(Raw_Actuals!$H:$H,Raw_Actuals!$E:$E,B57,Raw_Actuals!$F:$F,C57,Raw_Actuals!$B:$B,D57)</f>
        <v>430800</v>
      </c>
      <c r="I57" s="11">
        <f t="shared" si="0"/>
        <v>12800</v>
      </c>
      <c r="J57" s="12">
        <f t="shared" si="1"/>
        <v>3.0622009569377991E-2</v>
      </c>
      <c r="K57" s="13" t="str">
        <f t="shared" si="2"/>
        <v>🟢 On Track</v>
      </c>
      <c r="L57" s="28" t="str">
        <f t="shared" si="3"/>
        <v/>
      </c>
    </row>
    <row r="58" spans="1:12" ht="15" customHeight="1" x14ac:dyDescent="0.45">
      <c r="A58" s="27" t="s">
        <v>1026</v>
      </c>
      <c r="B58" s="14" t="s">
        <v>13</v>
      </c>
      <c r="C58" s="14" t="s">
        <v>102</v>
      </c>
      <c r="D58" s="14">
        <v>3</v>
      </c>
      <c r="E58" s="14" t="s">
        <v>18</v>
      </c>
      <c r="F58" s="14" t="s">
        <v>12</v>
      </c>
      <c r="G58" s="7">
        <v>165000</v>
      </c>
      <c r="H58" s="15">
        <f>SUMIFS(Raw_Actuals!$H:$H,Raw_Actuals!$E:$E,B58,Raw_Actuals!$F:$F,C58,Raw_Actuals!$B:$B,D58)</f>
        <v>133200</v>
      </c>
      <c r="I58" s="16">
        <f t="shared" si="0"/>
        <v>-31800</v>
      </c>
      <c r="J58" s="17">
        <f t="shared" si="1"/>
        <v>-0.19272727272727272</v>
      </c>
      <c r="K58" s="18" t="str">
        <f t="shared" si="2"/>
        <v>🟡 Under Budget</v>
      </c>
      <c r="L58" s="29" t="str">
        <f t="shared" si="3"/>
        <v>Underspend: check if deferred</v>
      </c>
    </row>
    <row r="59" spans="1:12" ht="15" customHeight="1" x14ac:dyDescent="0.45">
      <c r="A59" s="26" t="s">
        <v>1027</v>
      </c>
      <c r="B59" s="9" t="s">
        <v>13</v>
      </c>
      <c r="C59" s="9" t="s">
        <v>50</v>
      </c>
      <c r="D59" s="9">
        <v>3</v>
      </c>
      <c r="E59" s="9" t="s">
        <v>18</v>
      </c>
      <c r="F59" s="9" t="s">
        <v>12</v>
      </c>
      <c r="G59" s="4">
        <v>77000</v>
      </c>
      <c r="H59" s="10">
        <f>SUMIFS(Raw_Actuals!$H:$H,Raw_Actuals!$E:$E,B59,Raw_Actuals!$F:$F,C59,Raw_Actuals!$B:$B,D59)</f>
        <v>73900</v>
      </c>
      <c r="I59" s="11">
        <f t="shared" si="0"/>
        <v>-3100</v>
      </c>
      <c r="J59" s="12">
        <f t="shared" si="1"/>
        <v>-4.0259740259740259E-2</v>
      </c>
      <c r="K59" s="13" t="str">
        <f t="shared" si="2"/>
        <v>🟢 On Track</v>
      </c>
      <c r="L59" s="28" t="str">
        <f t="shared" si="3"/>
        <v/>
      </c>
    </row>
    <row r="60" spans="1:12" ht="15" customHeight="1" x14ac:dyDescent="0.45">
      <c r="A60" s="27" t="s">
        <v>1028</v>
      </c>
      <c r="B60" s="14" t="s">
        <v>13</v>
      </c>
      <c r="C60" s="14" t="s">
        <v>63</v>
      </c>
      <c r="D60" s="14">
        <v>3</v>
      </c>
      <c r="E60" s="14" t="s">
        <v>18</v>
      </c>
      <c r="F60" s="14" t="s">
        <v>12</v>
      </c>
      <c r="G60" s="7">
        <v>28000</v>
      </c>
      <c r="H60" s="15">
        <f>SUMIFS(Raw_Actuals!$H:$H,Raw_Actuals!$E:$E,B60,Raw_Actuals!$F:$F,C60,Raw_Actuals!$B:$B,D60)</f>
        <v>28200</v>
      </c>
      <c r="I60" s="16">
        <f t="shared" si="0"/>
        <v>200</v>
      </c>
      <c r="J60" s="17">
        <f t="shared" si="1"/>
        <v>7.1428571428571426E-3</v>
      </c>
      <c r="K60" s="18" t="str">
        <f t="shared" si="2"/>
        <v>🟢 On Track</v>
      </c>
      <c r="L60" s="29" t="str">
        <f t="shared" si="3"/>
        <v/>
      </c>
    </row>
    <row r="61" spans="1:12" ht="15" customHeight="1" x14ac:dyDescent="0.45">
      <c r="A61" s="26" t="s">
        <v>1029</v>
      </c>
      <c r="B61" s="9" t="s">
        <v>24</v>
      </c>
      <c r="C61" s="9" t="s">
        <v>14</v>
      </c>
      <c r="D61" s="9">
        <v>3</v>
      </c>
      <c r="E61" s="9" t="s">
        <v>18</v>
      </c>
      <c r="F61" s="9" t="s">
        <v>12</v>
      </c>
      <c r="G61" s="4">
        <v>550000</v>
      </c>
      <c r="H61" s="10">
        <f>SUMIFS(Raw_Actuals!$H:$H,Raw_Actuals!$E:$E,B61,Raw_Actuals!$F:$F,C61,Raw_Actuals!$B:$B,D61)</f>
        <v>428700</v>
      </c>
      <c r="I61" s="11">
        <f t="shared" si="0"/>
        <v>-121300</v>
      </c>
      <c r="J61" s="12">
        <f t="shared" si="1"/>
        <v>-0.22054545454545454</v>
      </c>
      <c r="K61" s="13" t="str">
        <f t="shared" si="2"/>
        <v>🟡 Under Budget</v>
      </c>
      <c r="L61" s="28" t="str">
        <f t="shared" si="3"/>
        <v>Underspend: check if deferred</v>
      </c>
    </row>
    <row r="62" spans="1:12" ht="15" customHeight="1" x14ac:dyDescent="0.45">
      <c r="A62" s="27" t="s">
        <v>1030</v>
      </c>
      <c r="B62" s="14" t="s">
        <v>24</v>
      </c>
      <c r="C62" s="14" t="s">
        <v>36</v>
      </c>
      <c r="D62" s="14">
        <v>3</v>
      </c>
      <c r="E62" s="14" t="s">
        <v>18</v>
      </c>
      <c r="F62" s="14" t="s">
        <v>12</v>
      </c>
      <c r="G62" s="7">
        <v>99000</v>
      </c>
      <c r="H62" s="15">
        <f>SUMIFS(Raw_Actuals!$H:$H,Raw_Actuals!$E:$E,B62,Raw_Actuals!$F:$F,C62,Raw_Actuals!$B:$B,D62)</f>
        <v>80700</v>
      </c>
      <c r="I62" s="16">
        <f t="shared" si="0"/>
        <v>-18300</v>
      </c>
      <c r="J62" s="17">
        <f t="shared" si="1"/>
        <v>-0.18484848484848485</v>
      </c>
      <c r="K62" s="18" t="str">
        <f t="shared" si="2"/>
        <v>🟡 Under Budget</v>
      </c>
      <c r="L62" s="29" t="str">
        <f t="shared" si="3"/>
        <v>Underspend: check if deferred</v>
      </c>
    </row>
    <row r="63" spans="1:12" ht="15" customHeight="1" x14ac:dyDescent="0.45">
      <c r="A63" s="26" t="s">
        <v>1031</v>
      </c>
      <c r="B63" s="9" t="s">
        <v>24</v>
      </c>
      <c r="C63" s="9" t="s">
        <v>25</v>
      </c>
      <c r="D63" s="9">
        <v>3</v>
      </c>
      <c r="E63" s="9" t="s">
        <v>18</v>
      </c>
      <c r="F63" s="9" t="s">
        <v>12</v>
      </c>
      <c r="G63" s="4">
        <v>88000</v>
      </c>
      <c r="H63" s="10">
        <f>SUMIFS(Raw_Actuals!$H:$H,Raw_Actuals!$E:$E,B63,Raw_Actuals!$F:$F,C63,Raw_Actuals!$B:$B,D63)</f>
        <v>75300</v>
      </c>
      <c r="I63" s="11">
        <f t="shared" si="0"/>
        <v>-12700</v>
      </c>
      <c r="J63" s="12">
        <f t="shared" si="1"/>
        <v>-0.14431818181818182</v>
      </c>
      <c r="K63" s="13" t="str">
        <f t="shared" si="2"/>
        <v>🟡 Under Budget</v>
      </c>
      <c r="L63" s="28" t="str">
        <f t="shared" si="3"/>
        <v>Underspend: check if deferred</v>
      </c>
    </row>
    <row r="64" spans="1:12" ht="15" customHeight="1" x14ac:dyDescent="0.45">
      <c r="A64" s="27" t="s">
        <v>1032</v>
      </c>
      <c r="B64" s="14" t="s">
        <v>24</v>
      </c>
      <c r="C64" s="14" t="s">
        <v>44</v>
      </c>
      <c r="D64" s="14">
        <v>3</v>
      </c>
      <c r="E64" s="14" t="s">
        <v>18</v>
      </c>
      <c r="F64" s="14" t="s">
        <v>12</v>
      </c>
      <c r="G64" s="7">
        <v>121000</v>
      </c>
      <c r="H64" s="15">
        <f>SUMIFS(Raw_Actuals!$H:$H,Raw_Actuals!$E:$E,B64,Raw_Actuals!$F:$F,C64,Raw_Actuals!$B:$B,D64)</f>
        <v>106600</v>
      </c>
      <c r="I64" s="16">
        <f t="shared" si="0"/>
        <v>-14400</v>
      </c>
      <c r="J64" s="17">
        <f t="shared" si="1"/>
        <v>-0.11900826446280992</v>
      </c>
      <c r="K64" s="18" t="str">
        <f t="shared" si="2"/>
        <v>🟡 Under Budget</v>
      </c>
      <c r="L64" s="29" t="str">
        <f t="shared" si="3"/>
        <v>Underspend: check if deferred</v>
      </c>
    </row>
    <row r="65" spans="1:12" ht="15" customHeight="1" x14ac:dyDescent="0.45">
      <c r="A65" s="26" t="s">
        <v>1033</v>
      </c>
      <c r="B65" s="9" t="s">
        <v>19</v>
      </c>
      <c r="C65" s="9" t="s">
        <v>14</v>
      </c>
      <c r="D65" s="9">
        <v>3</v>
      </c>
      <c r="E65" s="9" t="s">
        <v>18</v>
      </c>
      <c r="F65" s="9" t="s">
        <v>12</v>
      </c>
      <c r="G65" s="4">
        <v>385000</v>
      </c>
      <c r="H65" s="10">
        <f>SUMIFS(Raw_Actuals!$H:$H,Raw_Actuals!$E:$E,B65,Raw_Actuals!$F:$F,C65,Raw_Actuals!$B:$B,D65)</f>
        <v>351000</v>
      </c>
      <c r="I65" s="11">
        <f t="shared" si="0"/>
        <v>-34000</v>
      </c>
      <c r="J65" s="12">
        <f t="shared" si="1"/>
        <v>-8.8311688311688313E-2</v>
      </c>
      <c r="K65" s="13" t="str">
        <f t="shared" si="2"/>
        <v>🟢 On Track</v>
      </c>
      <c r="L65" s="28" t="str">
        <f t="shared" si="3"/>
        <v/>
      </c>
    </row>
    <row r="66" spans="1:12" ht="15" customHeight="1" x14ac:dyDescent="0.45">
      <c r="A66" s="27" t="s">
        <v>1034</v>
      </c>
      <c r="B66" s="14" t="s">
        <v>19</v>
      </c>
      <c r="C66" s="14" t="s">
        <v>53</v>
      </c>
      <c r="D66" s="14">
        <v>3</v>
      </c>
      <c r="E66" s="14" t="s">
        <v>18</v>
      </c>
      <c r="F66" s="14" t="s">
        <v>12</v>
      </c>
      <c r="G66" s="7">
        <v>66000</v>
      </c>
      <c r="H66" s="15">
        <f>SUMIFS(Raw_Actuals!$H:$H,Raw_Actuals!$E:$E,B66,Raw_Actuals!$F:$F,C66,Raw_Actuals!$B:$B,D66)</f>
        <v>68300</v>
      </c>
      <c r="I66" s="16">
        <f t="shared" si="0"/>
        <v>2300</v>
      </c>
      <c r="J66" s="17">
        <f t="shared" si="1"/>
        <v>3.4848484848484851E-2</v>
      </c>
      <c r="K66" s="18" t="str">
        <f t="shared" si="2"/>
        <v>🟢 On Track</v>
      </c>
      <c r="L66" s="29" t="str">
        <f t="shared" si="3"/>
        <v/>
      </c>
    </row>
    <row r="67" spans="1:12" ht="15" customHeight="1" x14ac:dyDescent="0.45">
      <c r="A67" s="26" t="s">
        <v>1035</v>
      </c>
      <c r="B67" s="9" t="s">
        <v>19</v>
      </c>
      <c r="C67" s="9" t="s">
        <v>31</v>
      </c>
      <c r="D67" s="9">
        <v>3</v>
      </c>
      <c r="E67" s="9" t="s">
        <v>18</v>
      </c>
      <c r="F67" s="9" t="s">
        <v>12</v>
      </c>
      <c r="G67" s="4">
        <v>50000</v>
      </c>
      <c r="H67" s="10">
        <f>SUMIFS(Raw_Actuals!$H:$H,Raw_Actuals!$E:$E,B67,Raw_Actuals!$F:$F,C67,Raw_Actuals!$B:$B,D67)</f>
        <v>44100</v>
      </c>
      <c r="I67" s="11">
        <f t="shared" si="0"/>
        <v>-5900</v>
      </c>
      <c r="J67" s="12">
        <f t="shared" si="1"/>
        <v>-0.11799999999999999</v>
      </c>
      <c r="K67" s="13" t="str">
        <f t="shared" si="2"/>
        <v>🟡 Under Budget</v>
      </c>
      <c r="L67" s="28" t="str">
        <f t="shared" si="3"/>
        <v>Underspend: check if deferred</v>
      </c>
    </row>
    <row r="68" spans="1:12" ht="15" customHeight="1" x14ac:dyDescent="0.45">
      <c r="A68" s="27" t="s">
        <v>1036</v>
      </c>
      <c r="B68" s="14" t="s">
        <v>19</v>
      </c>
      <c r="C68" s="14" t="s">
        <v>63</v>
      </c>
      <c r="D68" s="14">
        <v>3</v>
      </c>
      <c r="E68" s="14" t="s">
        <v>18</v>
      </c>
      <c r="F68" s="14" t="s">
        <v>12</v>
      </c>
      <c r="G68" s="7">
        <v>22000</v>
      </c>
      <c r="H68" s="15">
        <f>SUMIFS(Raw_Actuals!$H:$H,Raw_Actuals!$E:$E,B68,Raw_Actuals!$F:$F,C68,Raw_Actuals!$B:$B,D68)</f>
        <v>20100</v>
      </c>
      <c r="I68" s="16">
        <f t="shared" si="0"/>
        <v>-1900</v>
      </c>
      <c r="J68" s="17">
        <f t="shared" si="1"/>
        <v>-8.6363636363636365E-2</v>
      </c>
      <c r="K68" s="18" t="str">
        <f t="shared" si="2"/>
        <v>🟢 On Track</v>
      </c>
      <c r="L68" s="29" t="str">
        <f t="shared" si="3"/>
        <v/>
      </c>
    </row>
    <row r="69" spans="1:12" ht="15" customHeight="1" x14ac:dyDescent="0.45">
      <c r="A69" s="26" t="s">
        <v>1037</v>
      </c>
      <c r="B69" s="9" t="s">
        <v>35</v>
      </c>
      <c r="C69" s="9" t="s">
        <v>14</v>
      </c>
      <c r="D69" s="9">
        <v>3</v>
      </c>
      <c r="E69" s="9" t="s">
        <v>18</v>
      </c>
      <c r="F69" s="9" t="s">
        <v>12</v>
      </c>
      <c r="G69" s="4">
        <v>319000</v>
      </c>
      <c r="H69" s="10">
        <f>SUMIFS(Raw_Actuals!$H:$H,Raw_Actuals!$E:$E,B69,Raw_Actuals!$F:$F,C69,Raw_Actuals!$B:$B,D69)</f>
        <v>329100</v>
      </c>
      <c r="I69" s="11">
        <f t="shared" ref="I69:I132" si="4">H69-G69</f>
        <v>10100</v>
      </c>
      <c r="J69" s="12">
        <f t="shared" ref="J69:J132" si="5">IFERROR(I69/G69,0)</f>
        <v>3.1661442006269594E-2</v>
      </c>
      <c r="K69" s="13" t="str">
        <f t="shared" ref="K69:K132" si="6">IF(J69&gt;0.15,"🔴 Over Budget",IF(J69&lt;-0.1,"🟡 Under Budget","🟢 On Track"))</f>
        <v>🟢 On Track</v>
      </c>
      <c r="L69" s="28" t="str">
        <f t="shared" ref="L69:L132" si="7">IFERROR(IF(J69&gt;0.15,"Overspend: review with dept head",IF(J69&lt;-0.1,"Underspend: check if deferred","")),"")</f>
        <v/>
      </c>
    </row>
    <row r="70" spans="1:12" ht="15" customHeight="1" x14ac:dyDescent="0.45">
      <c r="A70" s="27" t="s">
        <v>1038</v>
      </c>
      <c r="B70" s="14" t="s">
        <v>35</v>
      </c>
      <c r="C70" s="14" t="s">
        <v>105</v>
      </c>
      <c r="D70" s="14">
        <v>3</v>
      </c>
      <c r="E70" s="14" t="s">
        <v>18</v>
      </c>
      <c r="F70" s="14" t="s">
        <v>12</v>
      </c>
      <c r="G70" s="7">
        <v>44000</v>
      </c>
      <c r="H70" s="15">
        <f>SUMIFS(Raw_Actuals!$H:$H,Raw_Actuals!$E:$E,B70,Raw_Actuals!$F:$F,C70,Raw_Actuals!$B:$B,D70)</f>
        <v>72000</v>
      </c>
      <c r="I70" s="16">
        <f t="shared" si="4"/>
        <v>28000</v>
      </c>
      <c r="J70" s="17">
        <f t="shared" si="5"/>
        <v>0.63636363636363635</v>
      </c>
      <c r="K70" s="18" t="str">
        <f t="shared" si="6"/>
        <v>🔴 Over Budget</v>
      </c>
      <c r="L70" s="29" t="str">
        <f t="shared" si="7"/>
        <v>Overspend: review with dept head</v>
      </c>
    </row>
    <row r="71" spans="1:12" ht="15" customHeight="1" x14ac:dyDescent="0.45">
      <c r="A71" s="26" t="s">
        <v>1039</v>
      </c>
      <c r="B71" s="9" t="s">
        <v>35</v>
      </c>
      <c r="C71" s="9" t="s">
        <v>36</v>
      </c>
      <c r="D71" s="9">
        <v>3</v>
      </c>
      <c r="E71" s="9" t="s">
        <v>18</v>
      </c>
      <c r="F71" s="9" t="s">
        <v>12</v>
      </c>
      <c r="G71" s="4">
        <v>33000</v>
      </c>
      <c r="H71" s="10">
        <f>SUMIFS(Raw_Actuals!$H:$H,Raw_Actuals!$E:$E,B71,Raw_Actuals!$F:$F,C71,Raw_Actuals!$B:$B,D71)</f>
        <v>34000</v>
      </c>
      <c r="I71" s="11">
        <f t="shared" si="4"/>
        <v>1000</v>
      </c>
      <c r="J71" s="12">
        <f t="shared" si="5"/>
        <v>3.0303030303030304E-2</v>
      </c>
      <c r="K71" s="13" t="str">
        <f t="shared" si="6"/>
        <v>🟢 On Track</v>
      </c>
      <c r="L71" s="28" t="str">
        <f t="shared" si="7"/>
        <v/>
      </c>
    </row>
    <row r="72" spans="1:12" ht="15" customHeight="1" x14ac:dyDescent="0.45">
      <c r="A72" s="27" t="s">
        <v>1040</v>
      </c>
      <c r="B72" s="14" t="s">
        <v>35</v>
      </c>
      <c r="C72" s="14" t="s">
        <v>75</v>
      </c>
      <c r="D72" s="14">
        <v>3</v>
      </c>
      <c r="E72" s="14" t="s">
        <v>18</v>
      </c>
      <c r="F72" s="14" t="s">
        <v>12</v>
      </c>
      <c r="G72" s="7">
        <v>16000</v>
      </c>
      <c r="H72" s="15">
        <f>SUMIFS(Raw_Actuals!$H:$H,Raw_Actuals!$E:$E,B72,Raw_Actuals!$F:$F,C72,Raw_Actuals!$B:$B,D72)</f>
        <v>14000</v>
      </c>
      <c r="I72" s="16">
        <f t="shared" si="4"/>
        <v>-2000</v>
      </c>
      <c r="J72" s="17">
        <f t="shared" si="5"/>
        <v>-0.125</v>
      </c>
      <c r="K72" s="18" t="str">
        <f t="shared" si="6"/>
        <v>🟡 Under Budget</v>
      </c>
      <c r="L72" s="29" t="str">
        <f t="shared" si="7"/>
        <v>Underspend: check if deferred</v>
      </c>
    </row>
    <row r="73" spans="1:12" ht="15" customHeight="1" x14ac:dyDescent="0.45">
      <c r="A73" s="26" t="s">
        <v>1041</v>
      </c>
      <c r="B73" s="9" t="s">
        <v>71</v>
      </c>
      <c r="C73" s="9" t="s">
        <v>14</v>
      </c>
      <c r="D73" s="9">
        <v>3</v>
      </c>
      <c r="E73" s="9" t="s">
        <v>18</v>
      </c>
      <c r="F73" s="9" t="s">
        <v>12</v>
      </c>
      <c r="G73" s="4">
        <v>451000</v>
      </c>
      <c r="H73" s="10">
        <f>SUMIFS(Raw_Actuals!$H:$H,Raw_Actuals!$E:$E,B73,Raw_Actuals!$F:$F,C73,Raw_Actuals!$B:$B,D73)</f>
        <v>402800</v>
      </c>
      <c r="I73" s="11">
        <f t="shared" si="4"/>
        <v>-48200</v>
      </c>
      <c r="J73" s="12">
        <f t="shared" si="5"/>
        <v>-0.10687361419068736</v>
      </c>
      <c r="K73" s="13" t="str">
        <f t="shared" si="6"/>
        <v>🟡 Under Budget</v>
      </c>
      <c r="L73" s="28" t="str">
        <f t="shared" si="7"/>
        <v>Underspend: check if deferred</v>
      </c>
    </row>
    <row r="74" spans="1:12" ht="15" customHeight="1" x14ac:dyDescent="0.45">
      <c r="A74" s="27" t="s">
        <v>1042</v>
      </c>
      <c r="B74" s="14" t="s">
        <v>71</v>
      </c>
      <c r="C74" s="14" t="s">
        <v>88</v>
      </c>
      <c r="D74" s="14">
        <v>3</v>
      </c>
      <c r="E74" s="14" t="s">
        <v>18</v>
      </c>
      <c r="F74" s="14" t="s">
        <v>12</v>
      </c>
      <c r="G74" s="7">
        <v>220000</v>
      </c>
      <c r="H74" s="15">
        <f>SUMIFS(Raw_Actuals!$H:$H,Raw_Actuals!$E:$E,B74,Raw_Actuals!$F:$F,C74,Raw_Actuals!$B:$B,D74)</f>
        <v>209500</v>
      </c>
      <c r="I74" s="16">
        <f t="shared" si="4"/>
        <v>-10500</v>
      </c>
      <c r="J74" s="17">
        <f t="shared" si="5"/>
        <v>-4.7727272727272729E-2</v>
      </c>
      <c r="K74" s="18" t="str">
        <f t="shared" si="6"/>
        <v>🟢 On Track</v>
      </c>
      <c r="L74" s="29" t="str">
        <f t="shared" si="7"/>
        <v/>
      </c>
    </row>
    <row r="75" spans="1:12" ht="15" customHeight="1" x14ac:dyDescent="0.45">
      <c r="A75" s="26" t="s">
        <v>1043</v>
      </c>
      <c r="B75" s="9" t="s">
        <v>71</v>
      </c>
      <c r="C75" s="9" t="s">
        <v>63</v>
      </c>
      <c r="D75" s="9">
        <v>3</v>
      </c>
      <c r="E75" s="9" t="s">
        <v>18</v>
      </c>
      <c r="F75" s="9" t="s">
        <v>12</v>
      </c>
      <c r="G75" s="4">
        <v>61000</v>
      </c>
      <c r="H75" s="10">
        <f>SUMIFS(Raw_Actuals!$H:$H,Raw_Actuals!$E:$E,B75,Raw_Actuals!$F:$F,C75,Raw_Actuals!$B:$B,D75)</f>
        <v>57900</v>
      </c>
      <c r="I75" s="11">
        <f t="shared" si="4"/>
        <v>-3100</v>
      </c>
      <c r="J75" s="12">
        <f t="shared" si="5"/>
        <v>-5.0819672131147541E-2</v>
      </c>
      <c r="K75" s="13" t="str">
        <f t="shared" si="6"/>
        <v>🟢 On Track</v>
      </c>
      <c r="L75" s="28" t="str">
        <f t="shared" si="7"/>
        <v/>
      </c>
    </row>
    <row r="76" spans="1:12" ht="15" customHeight="1" x14ac:dyDescent="0.45">
      <c r="A76" s="27" t="s">
        <v>1044</v>
      </c>
      <c r="B76" s="14" t="s">
        <v>71</v>
      </c>
      <c r="C76" s="14" t="s">
        <v>94</v>
      </c>
      <c r="D76" s="14">
        <v>3</v>
      </c>
      <c r="E76" s="14" t="s">
        <v>18</v>
      </c>
      <c r="F76" s="14" t="s">
        <v>12</v>
      </c>
      <c r="G76" s="7">
        <v>33000</v>
      </c>
      <c r="H76" s="15">
        <f>SUMIFS(Raw_Actuals!$H:$H,Raw_Actuals!$E:$E,B76,Raw_Actuals!$F:$F,C76,Raw_Actuals!$B:$B,D76)</f>
        <v>25900</v>
      </c>
      <c r="I76" s="16">
        <f t="shared" si="4"/>
        <v>-7100</v>
      </c>
      <c r="J76" s="17">
        <f t="shared" si="5"/>
        <v>-0.21515151515151515</v>
      </c>
      <c r="K76" s="18" t="str">
        <f t="shared" si="6"/>
        <v>🟡 Under Budget</v>
      </c>
      <c r="L76" s="29" t="str">
        <f t="shared" si="7"/>
        <v>Underspend: check if deferred</v>
      </c>
    </row>
    <row r="77" spans="1:12" ht="15" customHeight="1" x14ac:dyDescent="0.45">
      <c r="A77" s="26" t="s">
        <v>1045</v>
      </c>
      <c r="B77" s="9" t="s">
        <v>57</v>
      </c>
      <c r="C77" s="9" t="s">
        <v>14</v>
      </c>
      <c r="D77" s="9">
        <v>4</v>
      </c>
      <c r="E77" s="9" t="s">
        <v>47</v>
      </c>
      <c r="F77" s="9" t="s">
        <v>23</v>
      </c>
      <c r="G77" s="4">
        <v>420000</v>
      </c>
      <c r="H77" s="10">
        <f>SUMIFS(Raw_Actuals!$H:$H,Raw_Actuals!$E:$E,B77,Raw_Actuals!$F:$F,C77,Raw_Actuals!$B:$B,D77)</f>
        <v>429600</v>
      </c>
      <c r="I77" s="11">
        <f t="shared" si="4"/>
        <v>9600</v>
      </c>
      <c r="J77" s="12">
        <f t="shared" si="5"/>
        <v>2.2857142857142857E-2</v>
      </c>
      <c r="K77" s="13" t="str">
        <f t="shared" si="6"/>
        <v>🟢 On Track</v>
      </c>
      <c r="L77" s="28" t="str">
        <f t="shared" si="7"/>
        <v/>
      </c>
    </row>
    <row r="78" spans="1:12" ht="15" customHeight="1" x14ac:dyDescent="0.45">
      <c r="A78" s="27" t="s">
        <v>1046</v>
      </c>
      <c r="B78" s="14" t="s">
        <v>57</v>
      </c>
      <c r="C78" s="14" t="s">
        <v>75</v>
      </c>
      <c r="D78" s="14">
        <v>4</v>
      </c>
      <c r="E78" s="14" t="s">
        <v>47</v>
      </c>
      <c r="F78" s="14" t="s">
        <v>23</v>
      </c>
      <c r="G78" s="7">
        <v>35000</v>
      </c>
      <c r="H78" s="15">
        <f>SUMIFS(Raw_Actuals!$H:$H,Raw_Actuals!$E:$E,B78,Raw_Actuals!$F:$F,C78,Raw_Actuals!$B:$B,D78)</f>
        <v>38000</v>
      </c>
      <c r="I78" s="16">
        <f t="shared" si="4"/>
        <v>3000</v>
      </c>
      <c r="J78" s="17">
        <f t="shared" si="5"/>
        <v>8.5714285714285715E-2</v>
      </c>
      <c r="K78" s="18" t="str">
        <f t="shared" si="6"/>
        <v>🟢 On Track</v>
      </c>
      <c r="L78" s="29" t="str">
        <f t="shared" si="7"/>
        <v/>
      </c>
    </row>
    <row r="79" spans="1:12" ht="15" customHeight="1" x14ac:dyDescent="0.45">
      <c r="A79" s="26" t="s">
        <v>1047</v>
      </c>
      <c r="B79" s="9" t="s">
        <v>57</v>
      </c>
      <c r="C79" s="9" t="s">
        <v>85</v>
      </c>
      <c r="D79" s="9">
        <v>4</v>
      </c>
      <c r="E79" s="9" t="s">
        <v>47</v>
      </c>
      <c r="F79" s="9" t="s">
        <v>23</v>
      </c>
      <c r="G79" s="4">
        <v>55000</v>
      </c>
      <c r="H79" s="10">
        <f>SUMIFS(Raw_Actuals!$H:$H,Raw_Actuals!$E:$E,B79,Raw_Actuals!$F:$F,C79,Raw_Actuals!$B:$B,D79)</f>
        <v>54500</v>
      </c>
      <c r="I79" s="11">
        <f t="shared" si="4"/>
        <v>-500</v>
      </c>
      <c r="J79" s="12">
        <f t="shared" si="5"/>
        <v>-9.0909090909090905E-3</v>
      </c>
      <c r="K79" s="13" t="str">
        <f t="shared" si="6"/>
        <v>🟢 On Track</v>
      </c>
      <c r="L79" s="28" t="str">
        <f t="shared" si="7"/>
        <v/>
      </c>
    </row>
    <row r="80" spans="1:12" ht="15" customHeight="1" x14ac:dyDescent="0.45">
      <c r="A80" s="27" t="s">
        <v>1048</v>
      </c>
      <c r="B80" s="14" t="s">
        <v>57</v>
      </c>
      <c r="C80" s="14" t="s">
        <v>63</v>
      </c>
      <c r="D80" s="14">
        <v>4</v>
      </c>
      <c r="E80" s="14" t="s">
        <v>47</v>
      </c>
      <c r="F80" s="14" t="s">
        <v>23</v>
      </c>
      <c r="G80" s="7">
        <v>18000</v>
      </c>
      <c r="H80" s="15">
        <f>SUMIFS(Raw_Actuals!$H:$H,Raw_Actuals!$E:$E,B80,Raw_Actuals!$F:$F,C80,Raw_Actuals!$B:$B,D80)</f>
        <v>18500</v>
      </c>
      <c r="I80" s="16">
        <f t="shared" si="4"/>
        <v>500</v>
      </c>
      <c r="J80" s="17">
        <f t="shared" si="5"/>
        <v>2.7777777777777776E-2</v>
      </c>
      <c r="K80" s="18" t="str">
        <f t="shared" si="6"/>
        <v>🟢 On Track</v>
      </c>
      <c r="L80" s="29" t="str">
        <f t="shared" si="7"/>
        <v/>
      </c>
    </row>
    <row r="81" spans="1:12" ht="15" customHeight="1" x14ac:dyDescent="0.45">
      <c r="A81" s="26" t="s">
        <v>1049</v>
      </c>
      <c r="B81" s="9" t="s">
        <v>13</v>
      </c>
      <c r="C81" s="9" t="s">
        <v>14</v>
      </c>
      <c r="D81" s="9">
        <v>4</v>
      </c>
      <c r="E81" s="9" t="s">
        <v>47</v>
      </c>
      <c r="F81" s="9" t="s">
        <v>23</v>
      </c>
      <c r="G81" s="4">
        <v>380000</v>
      </c>
      <c r="H81" s="10">
        <f>SUMIFS(Raw_Actuals!$H:$H,Raw_Actuals!$E:$E,B81,Raw_Actuals!$F:$F,C81,Raw_Actuals!$B:$B,D81)</f>
        <v>373800</v>
      </c>
      <c r="I81" s="11">
        <f t="shared" si="4"/>
        <v>-6200</v>
      </c>
      <c r="J81" s="12">
        <f t="shared" si="5"/>
        <v>-1.6315789473684211E-2</v>
      </c>
      <c r="K81" s="13" t="str">
        <f t="shared" si="6"/>
        <v>🟢 On Track</v>
      </c>
      <c r="L81" s="28" t="str">
        <f t="shared" si="7"/>
        <v/>
      </c>
    </row>
    <row r="82" spans="1:12" ht="15" customHeight="1" x14ac:dyDescent="0.45">
      <c r="A82" s="27" t="s">
        <v>1050</v>
      </c>
      <c r="B82" s="14" t="s">
        <v>13</v>
      </c>
      <c r="C82" s="14" t="s">
        <v>102</v>
      </c>
      <c r="D82" s="14">
        <v>4</v>
      </c>
      <c r="E82" s="14" t="s">
        <v>47</v>
      </c>
      <c r="F82" s="14" t="s">
        <v>23</v>
      </c>
      <c r="G82" s="7">
        <v>150000</v>
      </c>
      <c r="H82" s="15">
        <f>SUMIFS(Raw_Actuals!$H:$H,Raw_Actuals!$E:$E,B82,Raw_Actuals!$F:$F,C82,Raw_Actuals!$B:$B,D82)</f>
        <v>217500</v>
      </c>
      <c r="I82" s="16">
        <f t="shared" si="4"/>
        <v>67500</v>
      </c>
      <c r="J82" s="17">
        <f t="shared" si="5"/>
        <v>0.45</v>
      </c>
      <c r="K82" s="18" t="str">
        <f t="shared" si="6"/>
        <v>🔴 Over Budget</v>
      </c>
      <c r="L82" s="29" t="str">
        <f t="shared" si="7"/>
        <v>Overspend: review with dept head</v>
      </c>
    </row>
    <row r="83" spans="1:12" ht="15" customHeight="1" x14ac:dyDescent="0.45">
      <c r="A83" s="26" t="s">
        <v>1051</v>
      </c>
      <c r="B83" s="9" t="s">
        <v>13</v>
      </c>
      <c r="C83" s="9" t="s">
        <v>50</v>
      </c>
      <c r="D83" s="9">
        <v>4</v>
      </c>
      <c r="E83" s="9" t="s">
        <v>47</v>
      </c>
      <c r="F83" s="9" t="s">
        <v>23</v>
      </c>
      <c r="G83" s="4">
        <v>70000</v>
      </c>
      <c r="H83" s="10">
        <f>SUMIFS(Raw_Actuals!$H:$H,Raw_Actuals!$E:$E,B83,Raw_Actuals!$F:$F,C83,Raw_Actuals!$B:$B,D83)</f>
        <v>69600</v>
      </c>
      <c r="I83" s="11">
        <f t="shared" si="4"/>
        <v>-400</v>
      </c>
      <c r="J83" s="12">
        <f t="shared" si="5"/>
        <v>-5.7142857142857143E-3</v>
      </c>
      <c r="K83" s="13" t="str">
        <f t="shared" si="6"/>
        <v>🟢 On Track</v>
      </c>
      <c r="L83" s="28" t="str">
        <f t="shared" si="7"/>
        <v/>
      </c>
    </row>
    <row r="84" spans="1:12" ht="15" customHeight="1" x14ac:dyDescent="0.45">
      <c r="A84" s="27" t="s">
        <v>1052</v>
      </c>
      <c r="B84" s="14" t="s">
        <v>13</v>
      </c>
      <c r="C84" s="14" t="s">
        <v>63</v>
      </c>
      <c r="D84" s="14">
        <v>4</v>
      </c>
      <c r="E84" s="14" t="s">
        <v>47</v>
      </c>
      <c r="F84" s="14" t="s">
        <v>23</v>
      </c>
      <c r="G84" s="7">
        <v>25000</v>
      </c>
      <c r="H84" s="15">
        <f>SUMIFS(Raw_Actuals!$H:$H,Raw_Actuals!$E:$E,B84,Raw_Actuals!$F:$F,C84,Raw_Actuals!$B:$B,D84)</f>
        <v>23400</v>
      </c>
      <c r="I84" s="16">
        <f t="shared" si="4"/>
        <v>-1600</v>
      </c>
      <c r="J84" s="17">
        <f t="shared" si="5"/>
        <v>-6.4000000000000001E-2</v>
      </c>
      <c r="K84" s="18" t="str">
        <f t="shared" si="6"/>
        <v>🟢 On Track</v>
      </c>
      <c r="L84" s="29" t="str">
        <f t="shared" si="7"/>
        <v/>
      </c>
    </row>
    <row r="85" spans="1:12" ht="15" customHeight="1" x14ac:dyDescent="0.45">
      <c r="A85" s="26" t="s">
        <v>1053</v>
      </c>
      <c r="B85" s="9" t="s">
        <v>24</v>
      </c>
      <c r="C85" s="9" t="s">
        <v>14</v>
      </c>
      <c r="D85" s="9">
        <v>4</v>
      </c>
      <c r="E85" s="9" t="s">
        <v>47</v>
      </c>
      <c r="F85" s="9" t="s">
        <v>23</v>
      </c>
      <c r="G85" s="4">
        <v>500000</v>
      </c>
      <c r="H85" s="10">
        <f>SUMIFS(Raw_Actuals!$H:$H,Raw_Actuals!$E:$E,B85,Raw_Actuals!$F:$F,C85,Raw_Actuals!$B:$B,D85)</f>
        <v>459700</v>
      </c>
      <c r="I85" s="11">
        <f t="shared" si="4"/>
        <v>-40300</v>
      </c>
      <c r="J85" s="12">
        <f t="shared" si="5"/>
        <v>-8.0600000000000005E-2</v>
      </c>
      <c r="K85" s="13" t="str">
        <f t="shared" si="6"/>
        <v>🟢 On Track</v>
      </c>
      <c r="L85" s="28" t="str">
        <f t="shared" si="7"/>
        <v/>
      </c>
    </row>
    <row r="86" spans="1:12" ht="15" customHeight="1" x14ac:dyDescent="0.45">
      <c r="A86" s="27" t="s">
        <v>1054</v>
      </c>
      <c r="B86" s="14" t="s">
        <v>24</v>
      </c>
      <c r="C86" s="14" t="s">
        <v>36</v>
      </c>
      <c r="D86" s="14">
        <v>4</v>
      </c>
      <c r="E86" s="14" t="s">
        <v>47</v>
      </c>
      <c r="F86" s="14" t="s">
        <v>23</v>
      </c>
      <c r="G86" s="7">
        <v>90000</v>
      </c>
      <c r="H86" s="15">
        <f>SUMIFS(Raw_Actuals!$H:$H,Raw_Actuals!$E:$E,B86,Raw_Actuals!$F:$F,C86,Raw_Actuals!$B:$B,D86)</f>
        <v>78100</v>
      </c>
      <c r="I86" s="16">
        <f t="shared" si="4"/>
        <v>-11900</v>
      </c>
      <c r="J86" s="17">
        <f t="shared" si="5"/>
        <v>-0.13222222222222221</v>
      </c>
      <c r="K86" s="18" t="str">
        <f t="shared" si="6"/>
        <v>🟡 Under Budget</v>
      </c>
      <c r="L86" s="29" t="str">
        <f t="shared" si="7"/>
        <v>Underspend: check if deferred</v>
      </c>
    </row>
    <row r="87" spans="1:12" ht="15" customHeight="1" x14ac:dyDescent="0.45">
      <c r="A87" s="26" t="s">
        <v>1055</v>
      </c>
      <c r="B87" s="9" t="s">
        <v>24</v>
      </c>
      <c r="C87" s="9" t="s">
        <v>25</v>
      </c>
      <c r="D87" s="9">
        <v>4</v>
      </c>
      <c r="E87" s="9" t="s">
        <v>47</v>
      </c>
      <c r="F87" s="9" t="s">
        <v>23</v>
      </c>
      <c r="G87" s="4">
        <v>80000</v>
      </c>
      <c r="H87" s="10">
        <f>SUMIFS(Raw_Actuals!$H:$H,Raw_Actuals!$E:$E,B87,Raw_Actuals!$F:$F,C87,Raw_Actuals!$B:$B,D87)</f>
        <v>77100</v>
      </c>
      <c r="I87" s="11">
        <f t="shared" si="4"/>
        <v>-2900</v>
      </c>
      <c r="J87" s="12">
        <f t="shared" si="5"/>
        <v>-3.6249999999999998E-2</v>
      </c>
      <c r="K87" s="13" t="str">
        <f t="shared" si="6"/>
        <v>🟢 On Track</v>
      </c>
      <c r="L87" s="28" t="str">
        <f t="shared" si="7"/>
        <v/>
      </c>
    </row>
    <row r="88" spans="1:12" ht="15" customHeight="1" x14ac:dyDescent="0.45">
      <c r="A88" s="27" t="s">
        <v>1056</v>
      </c>
      <c r="B88" s="14" t="s">
        <v>24</v>
      </c>
      <c r="C88" s="14" t="s">
        <v>44</v>
      </c>
      <c r="D88" s="14">
        <v>4</v>
      </c>
      <c r="E88" s="14" t="s">
        <v>47</v>
      </c>
      <c r="F88" s="14" t="s">
        <v>23</v>
      </c>
      <c r="G88" s="7">
        <v>110000</v>
      </c>
      <c r="H88" s="15">
        <f>SUMIFS(Raw_Actuals!$H:$H,Raw_Actuals!$E:$E,B88,Raw_Actuals!$F:$F,C88,Raw_Actuals!$B:$B,D88)</f>
        <v>121700</v>
      </c>
      <c r="I88" s="16">
        <f t="shared" si="4"/>
        <v>11700</v>
      </c>
      <c r="J88" s="17">
        <f t="shared" si="5"/>
        <v>0.10636363636363637</v>
      </c>
      <c r="K88" s="18" t="str">
        <f t="shared" si="6"/>
        <v>🟢 On Track</v>
      </c>
      <c r="L88" s="29" t="str">
        <f t="shared" si="7"/>
        <v/>
      </c>
    </row>
    <row r="89" spans="1:12" ht="15" customHeight="1" x14ac:dyDescent="0.45">
      <c r="A89" s="26" t="s">
        <v>1057</v>
      </c>
      <c r="B89" s="9" t="s">
        <v>19</v>
      </c>
      <c r="C89" s="9" t="s">
        <v>14</v>
      </c>
      <c r="D89" s="9">
        <v>4</v>
      </c>
      <c r="E89" s="9" t="s">
        <v>47</v>
      </c>
      <c r="F89" s="9" t="s">
        <v>23</v>
      </c>
      <c r="G89" s="4">
        <v>350000</v>
      </c>
      <c r="H89" s="10">
        <f>SUMIFS(Raw_Actuals!$H:$H,Raw_Actuals!$E:$E,B89,Raw_Actuals!$F:$F,C89,Raw_Actuals!$B:$B,D89)</f>
        <v>320500</v>
      </c>
      <c r="I89" s="11">
        <f t="shared" si="4"/>
        <v>-29500</v>
      </c>
      <c r="J89" s="12">
        <f t="shared" si="5"/>
        <v>-8.4285714285714283E-2</v>
      </c>
      <c r="K89" s="13" t="str">
        <f t="shared" si="6"/>
        <v>🟢 On Track</v>
      </c>
      <c r="L89" s="28" t="str">
        <f t="shared" si="7"/>
        <v/>
      </c>
    </row>
    <row r="90" spans="1:12" ht="15" customHeight="1" x14ac:dyDescent="0.45">
      <c r="A90" s="27" t="s">
        <v>1058</v>
      </c>
      <c r="B90" s="14" t="s">
        <v>19</v>
      </c>
      <c r="C90" s="14" t="s">
        <v>53</v>
      </c>
      <c r="D90" s="14">
        <v>4</v>
      </c>
      <c r="E90" s="14" t="s">
        <v>47</v>
      </c>
      <c r="F90" s="14" t="s">
        <v>23</v>
      </c>
      <c r="G90" s="7">
        <v>60000</v>
      </c>
      <c r="H90" s="15">
        <f>SUMIFS(Raw_Actuals!$H:$H,Raw_Actuals!$E:$E,B90,Raw_Actuals!$F:$F,C90,Raw_Actuals!$B:$B,D90)</f>
        <v>64000</v>
      </c>
      <c r="I90" s="16">
        <f t="shared" si="4"/>
        <v>4000</v>
      </c>
      <c r="J90" s="17">
        <f t="shared" si="5"/>
        <v>6.6666666666666666E-2</v>
      </c>
      <c r="K90" s="18" t="str">
        <f t="shared" si="6"/>
        <v>🟢 On Track</v>
      </c>
      <c r="L90" s="29" t="str">
        <f t="shared" si="7"/>
        <v/>
      </c>
    </row>
    <row r="91" spans="1:12" ht="15" customHeight="1" x14ac:dyDescent="0.45">
      <c r="A91" s="26" t="s">
        <v>1059</v>
      </c>
      <c r="B91" s="9" t="s">
        <v>19</v>
      </c>
      <c r="C91" s="9" t="s">
        <v>31</v>
      </c>
      <c r="D91" s="9">
        <v>4</v>
      </c>
      <c r="E91" s="9" t="s">
        <v>47</v>
      </c>
      <c r="F91" s="9" t="s">
        <v>23</v>
      </c>
      <c r="G91" s="4">
        <v>45000</v>
      </c>
      <c r="H91" s="10">
        <f>SUMIFS(Raw_Actuals!$H:$H,Raw_Actuals!$E:$E,B91,Raw_Actuals!$F:$F,C91,Raw_Actuals!$B:$B,D91)</f>
        <v>46200</v>
      </c>
      <c r="I91" s="11">
        <f t="shared" si="4"/>
        <v>1200</v>
      </c>
      <c r="J91" s="12">
        <f t="shared" si="5"/>
        <v>2.6666666666666668E-2</v>
      </c>
      <c r="K91" s="13" t="str">
        <f t="shared" si="6"/>
        <v>🟢 On Track</v>
      </c>
      <c r="L91" s="28" t="str">
        <f t="shared" si="7"/>
        <v/>
      </c>
    </row>
    <row r="92" spans="1:12" ht="15" customHeight="1" x14ac:dyDescent="0.45">
      <c r="A92" s="27" t="s">
        <v>1060</v>
      </c>
      <c r="B92" s="14" t="s">
        <v>19</v>
      </c>
      <c r="C92" s="14" t="s">
        <v>63</v>
      </c>
      <c r="D92" s="14">
        <v>4</v>
      </c>
      <c r="E92" s="14" t="s">
        <v>47</v>
      </c>
      <c r="F92" s="14" t="s">
        <v>23</v>
      </c>
      <c r="G92" s="7">
        <v>20000</v>
      </c>
      <c r="H92" s="15">
        <f>SUMIFS(Raw_Actuals!$H:$H,Raw_Actuals!$E:$E,B92,Raw_Actuals!$F:$F,C92,Raw_Actuals!$B:$B,D92)</f>
        <v>19300</v>
      </c>
      <c r="I92" s="16">
        <f t="shared" si="4"/>
        <v>-700</v>
      </c>
      <c r="J92" s="17">
        <f t="shared" si="5"/>
        <v>-3.5000000000000003E-2</v>
      </c>
      <c r="K92" s="18" t="str">
        <f t="shared" si="6"/>
        <v>🟢 On Track</v>
      </c>
      <c r="L92" s="29" t="str">
        <f t="shared" si="7"/>
        <v/>
      </c>
    </row>
    <row r="93" spans="1:12" ht="15" customHeight="1" x14ac:dyDescent="0.45">
      <c r="A93" s="26" t="s">
        <v>1061</v>
      </c>
      <c r="B93" s="9" t="s">
        <v>35</v>
      </c>
      <c r="C93" s="9" t="s">
        <v>14</v>
      </c>
      <c r="D93" s="9">
        <v>4</v>
      </c>
      <c r="E93" s="9" t="s">
        <v>47</v>
      </c>
      <c r="F93" s="9" t="s">
        <v>23</v>
      </c>
      <c r="G93" s="4">
        <v>290000</v>
      </c>
      <c r="H93" s="10">
        <f>SUMIFS(Raw_Actuals!$H:$H,Raw_Actuals!$E:$E,B93,Raw_Actuals!$F:$F,C93,Raw_Actuals!$B:$B,D93)</f>
        <v>270700</v>
      </c>
      <c r="I93" s="11">
        <f t="shared" si="4"/>
        <v>-19300</v>
      </c>
      <c r="J93" s="12">
        <f t="shared" si="5"/>
        <v>-6.6551724137931034E-2</v>
      </c>
      <c r="K93" s="13" t="str">
        <f t="shared" si="6"/>
        <v>🟢 On Track</v>
      </c>
      <c r="L93" s="28" t="str">
        <f t="shared" si="7"/>
        <v/>
      </c>
    </row>
    <row r="94" spans="1:12" ht="15" customHeight="1" x14ac:dyDescent="0.45">
      <c r="A94" s="27" t="s">
        <v>1062</v>
      </c>
      <c r="B94" s="14" t="s">
        <v>35</v>
      </c>
      <c r="C94" s="14" t="s">
        <v>105</v>
      </c>
      <c r="D94" s="14">
        <v>4</v>
      </c>
      <c r="E94" s="14" t="s">
        <v>47</v>
      </c>
      <c r="F94" s="14" t="s">
        <v>23</v>
      </c>
      <c r="G94" s="7">
        <v>40000</v>
      </c>
      <c r="H94" s="15">
        <f>SUMIFS(Raw_Actuals!$H:$H,Raw_Actuals!$E:$E,B94,Raw_Actuals!$F:$F,C94,Raw_Actuals!$B:$B,D94)</f>
        <v>34700</v>
      </c>
      <c r="I94" s="16">
        <f t="shared" si="4"/>
        <v>-5300</v>
      </c>
      <c r="J94" s="17">
        <f t="shared" si="5"/>
        <v>-0.13250000000000001</v>
      </c>
      <c r="K94" s="18" t="str">
        <f t="shared" si="6"/>
        <v>🟡 Under Budget</v>
      </c>
      <c r="L94" s="29" t="str">
        <f t="shared" si="7"/>
        <v>Underspend: check if deferred</v>
      </c>
    </row>
    <row r="95" spans="1:12" ht="15" customHeight="1" x14ac:dyDescent="0.45">
      <c r="A95" s="26" t="s">
        <v>1063</v>
      </c>
      <c r="B95" s="9" t="s">
        <v>35</v>
      </c>
      <c r="C95" s="9" t="s">
        <v>36</v>
      </c>
      <c r="D95" s="9">
        <v>4</v>
      </c>
      <c r="E95" s="9" t="s">
        <v>47</v>
      </c>
      <c r="F95" s="9" t="s">
        <v>23</v>
      </c>
      <c r="G95" s="4">
        <v>30000</v>
      </c>
      <c r="H95" s="10">
        <f>SUMIFS(Raw_Actuals!$H:$H,Raw_Actuals!$E:$E,B95,Raw_Actuals!$F:$F,C95,Raw_Actuals!$B:$B,D95)</f>
        <v>34100</v>
      </c>
      <c r="I95" s="11">
        <f t="shared" si="4"/>
        <v>4100</v>
      </c>
      <c r="J95" s="12">
        <f t="shared" si="5"/>
        <v>0.13666666666666666</v>
      </c>
      <c r="K95" s="13" t="str">
        <f t="shared" si="6"/>
        <v>🟢 On Track</v>
      </c>
      <c r="L95" s="28" t="str">
        <f t="shared" si="7"/>
        <v/>
      </c>
    </row>
    <row r="96" spans="1:12" ht="15" customHeight="1" x14ac:dyDescent="0.45">
      <c r="A96" s="27" t="s">
        <v>1064</v>
      </c>
      <c r="B96" s="14" t="s">
        <v>35</v>
      </c>
      <c r="C96" s="14" t="s">
        <v>75</v>
      </c>
      <c r="D96" s="14">
        <v>4</v>
      </c>
      <c r="E96" s="14" t="s">
        <v>47</v>
      </c>
      <c r="F96" s="14" t="s">
        <v>23</v>
      </c>
      <c r="G96" s="7">
        <v>15000</v>
      </c>
      <c r="H96" s="15">
        <f>SUMIFS(Raw_Actuals!$H:$H,Raw_Actuals!$E:$E,B96,Raw_Actuals!$F:$F,C96,Raw_Actuals!$B:$B,D96)</f>
        <v>13900</v>
      </c>
      <c r="I96" s="16">
        <f t="shared" si="4"/>
        <v>-1100</v>
      </c>
      <c r="J96" s="17">
        <f t="shared" si="5"/>
        <v>-7.3333333333333334E-2</v>
      </c>
      <c r="K96" s="18" t="str">
        <f t="shared" si="6"/>
        <v>🟢 On Track</v>
      </c>
      <c r="L96" s="29" t="str">
        <f t="shared" si="7"/>
        <v/>
      </c>
    </row>
    <row r="97" spans="1:12" ht="15" customHeight="1" x14ac:dyDescent="0.45">
      <c r="A97" s="26" t="s">
        <v>1065</v>
      </c>
      <c r="B97" s="9" t="s">
        <v>71</v>
      </c>
      <c r="C97" s="9" t="s">
        <v>14</v>
      </c>
      <c r="D97" s="9">
        <v>4</v>
      </c>
      <c r="E97" s="9" t="s">
        <v>47</v>
      </c>
      <c r="F97" s="9" t="s">
        <v>23</v>
      </c>
      <c r="G97" s="4">
        <v>410000</v>
      </c>
      <c r="H97" s="10">
        <f>SUMIFS(Raw_Actuals!$H:$H,Raw_Actuals!$E:$E,B97,Raw_Actuals!$F:$F,C97,Raw_Actuals!$B:$B,D97)</f>
        <v>380100</v>
      </c>
      <c r="I97" s="11">
        <f t="shared" si="4"/>
        <v>-29900</v>
      </c>
      <c r="J97" s="12">
        <f t="shared" si="5"/>
        <v>-7.2926829268292678E-2</v>
      </c>
      <c r="K97" s="13" t="str">
        <f t="shared" si="6"/>
        <v>🟢 On Track</v>
      </c>
      <c r="L97" s="28" t="str">
        <f t="shared" si="7"/>
        <v/>
      </c>
    </row>
    <row r="98" spans="1:12" ht="15" customHeight="1" x14ac:dyDescent="0.45">
      <c r="A98" s="27" t="s">
        <v>1066</v>
      </c>
      <c r="B98" s="14" t="s">
        <v>71</v>
      </c>
      <c r="C98" s="14" t="s">
        <v>88</v>
      </c>
      <c r="D98" s="14">
        <v>4</v>
      </c>
      <c r="E98" s="14" t="s">
        <v>47</v>
      </c>
      <c r="F98" s="14" t="s">
        <v>23</v>
      </c>
      <c r="G98" s="7">
        <v>200000</v>
      </c>
      <c r="H98" s="15">
        <f>SUMIFS(Raw_Actuals!$H:$H,Raw_Actuals!$E:$E,B98,Raw_Actuals!$F:$F,C98,Raw_Actuals!$B:$B,D98)</f>
        <v>216600</v>
      </c>
      <c r="I98" s="16">
        <f t="shared" si="4"/>
        <v>16600</v>
      </c>
      <c r="J98" s="17">
        <f t="shared" si="5"/>
        <v>8.3000000000000004E-2</v>
      </c>
      <c r="K98" s="18" t="str">
        <f t="shared" si="6"/>
        <v>🟢 On Track</v>
      </c>
      <c r="L98" s="29" t="str">
        <f t="shared" si="7"/>
        <v/>
      </c>
    </row>
    <row r="99" spans="1:12" ht="15" customHeight="1" x14ac:dyDescent="0.45">
      <c r="A99" s="26" t="s">
        <v>1067</v>
      </c>
      <c r="B99" s="9" t="s">
        <v>71</v>
      </c>
      <c r="C99" s="9" t="s">
        <v>63</v>
      </c>
      <c r="D99" s="9">
        <v>4</v>
      </c>
      <c r="E99" s="9" t="s">
        <v>47</v>
      </c>
      <c r="F99" s="9" t="s">
        <v>23</v>
      </c>
      <c r="G99" s="4">
        <v>55000</v>
      </c>
      <c r="H99" s="10">
        <f>SUMIFS(Raw_Actuals!$H:$H,Raw_Actuals!$E:$E,B99,Raw_Actuals!$F:$F,C99,Raw_Actuals!$B:$B,D99)</f>
        <v>47200</v>
      </c>
      <c r="I99" s="11">
        <f t="shared" si="4"/>
        <v>-7800</v>
      </c>
      <c r="J99" s="12">
        <f t="shared" si="5"/>
        <v>-0.14181818181818182</v>
      </c>
      <c r="K99" s="13" t="str">
        <f t="shared" si="6"/>
        <v>🟡 Under Budget</v>
      </c>
      <c r="L99" s="28" t="str">
        <f t="shared" si="7"/>
        <v>Underspend: check if deferred</v>
      </c>
    </row>
    <row r="100" spans="1:12" ht="15" customHeight="1" x14ac:dyDescent="0.45">
      <c r="A100" s="27" t="s">
        <v>1068</v>
      </c>
      <c r="B100" s="14" t="s">
        <v>71</v>
      </c>
      <c r="C100" s="14" t="s">
        <v>94</v>
      </c>
      <c r="D100" s="14">
        <v>4</v>
      </c>
      <c r="E100" s="14" t="s">
        <v>47</v>
      </c>
      <c r="F100" s="14" t="s">
        <v>23</v>
      </c>
      <c r="G100" s="7">
        <v>30000</v>
      </c>
      <c r="H100" s="15">
        <f>SUMIFS(Raw_Actuals!$H:$H,Raw_Actuals!$E:$E,B100,Raw_Actuals!$F:$F,C100,Raw_Actuals!$B:$B,D100)</f>
        <v>27200</v>
      </c>
      <c r="I100" s="16">
        <f t="shared" si="4"/>
        <v>-2800</v>
      </c>
      <c r="J100" s="17">
        <f t="shared" si="5"/>
        <v>-9.3333333333333338E-2</v>
      </c>
      <c r="K100" s="18" t="str">
        <f t="shared" si="6"/>
        <v>🟢 On Track</v>
      </c>
      <c r="L100" s="29" t="str">
        <f t="shared" si="7"/>
        <v/>
      </c>
    </row>
    <row r="101" spans="1:12" ht="15" customHeight="1" x14ac:dyDescent="0.45">
      <c r="A101" s="26" t="s">
        <v>1069</v>
      </c>
      <c r="B101" s="9" t="s">
        <v>57</v>
      </c>
      <c r="C101" s="9" t="s">
        <v>14</v>
      </c>
      <c r="D101" s="9">
        <v>5</v>
      </c>
      <c r="E101" s="9" t="s">
        <v>22</v>
      </c>
      <c r="F101" s="9" t="s">
        <v>23</v>
      </c>
      <c r="G101" s="4">
        <v>420000</v>
      </c>
      <c r="H101" s="10">
        <f>SUMIFS(Raw_Actuals!$H:$H,Raw_Actuals!$E:$E,B101,Raw_Actuals!$F:$F,C101,Raw_Actuals!$B:$B,D101)</f>
        <v>457300</v>
      </c>
      <c r="I101" s="11">
        <f t="shared" si="4"/>
        <v>37300</v>
      </c>
      <c r="J101" s="12">
        <f t="shared" si="5"/>
        <v>8.880952380952381E-2</v>
      </c>
      <c r="K101" s="13" t="str">
        <f t="shared" si="6"/>
        <v>🟢 On Track</v>
      </c>
      <c r="L101" s="28" t="str">
        <f t="shared" si="7"/>
        <v/>
      </c>
    </row>
    <row r="102" spans="1:12" ht="15" customHeight="1" x14ac:dyDescent="0.45">
      <c r="A102" s="27" t="s">
        <v>1070</v>
      </c>
      <c r="B102" s="14" t="s">
        <v>57</v>
      </c>
      <c r="C102" s="14" t="s">
        <v>75</v>
      </c>
      <c r="D102" s="14">
        <v>5</v>
      </c>
      <c r="E102" s="14" t="s">
        <v>22</v>
      </c>
      <c r="F102" s="14" t="s">
        <v>23</v>
      </c>
      <c r="G102" s="7">
        <v>35000</v>
      </c>
      <c r="H102" s="15">
        <f>SUMIFS(Raw_Actuals!$H:$H,Raw_Actuals!$E:$E,B102,Raw_Actuals!$F:$F,C102,Raw_Actuals!$B:$B,D102)</f>
        <v>33300</v>
      </c>
      <c r="I102" s="16">
        <f t="shared" si="4"/>
        <v>-1700</v>
      </c>
      <c r="J102" s="17">
        <f t="shared" si="5"/>
        <v>-4.8571428571428571E-2</v>
      </c>
      <c r="K102" s="18" t="str">
        <f t="shared" si="6"/>
        <v>🟢 On Track</v>
      </c>
      <c r="L102" s="29" t="str">
        <f t="shared" si="7"/>
        <v/>
      </c>
    </row>
    <row r="103" spans="1:12" ht="15" customHeight="1" x14ac:dyDescent="0.45">
      <c r="A103" s="26" t="s">
        <v>1071</v>
      </c>
      <c r="B103" s="9" t="s">
        <v>57</v>
      </c>
      <c r="C103" s="9" t="s">
        <v>85</v>
      </c>
      <c r="D103" s="9">
        <v>5</v>
      </c>
      <c r="E103" s="9" t="s">
        <v>22</v>
      </c>
      <c r="F103" s="9" t="s">
        <v>23</v>
      </c>
      <c r="G103" s="4">
        <v>55000</v>
      </c>
      <c r="H103" s="10">
        <f>SUMIFS(Raw_Actuals!$H:$H,Raw_Actuals!$E:$E,B103,Raw_Actuals!$F:$F,C103,Raw_Actuals!$B:$B,D103)</f>
        <v>58400</v>
      </c>
      <c r="I103" s="11">
        <f t="shared" si="4"/>
        <v>3400</v>
      </c>
      <c r="J103" s="12">
        <f t="shared" si="5"/>
        <v>6.1818181818181821E-2</v>
      </c>
      <c r="K103" s="13" t="str">
        <f t="shared" si="6"/>
        <v>🟢 On Track</v>
      </c>
      <c r="L103" s="28" t="str">
        <f t="shared" si="7"/>
        <v/>
      </c>
    </row>
    <row r="104" spans="1:12" ht="15" customHeight="1" x14ac:dyDescent="0.45">
      <c r="A104" s="27" t="s">
        <v>1072</v>
      </c>
      <c r="B104" s="14" t="s">
        <v>57</v>
      </c>
      <c r="C104" s="14" t="s">
        <v>63</v>
      </c>
      <c r="D104" s="14">
        <v>5</v>
      </c>
      <c r="E104" s="14" t="s">
        <v>22</v>
      </c>
      <c r="F104" s="14" t="s">
        <v>23</v>
      </c>
      <c r="G104" s="7">
        <v>18000</v>
      </c>
      <c r="H104" s="15">
        <f>SUMIFS(Raw_Actuals!$H:$H,Raw_Actuals!$E:$E,B104,Raw_Actuals!$F:$F,C104,Raw_Actuals!$B:$B,D104)</f>
        <v>19600</v>
      </c>
      <c r="I104" s="16">
        <f t="shared" si="4"/>
        <v>1600</v>
      </c>
      <c r="J104" s="17">
        <f t="shared" si="5"/>
        <v>8.8888888888888892E-2</v>
      </c>
      <c r="K104" s="18" t="str">
        <f t="shared" si="6"/>
        <v>🟢 On Track</v>
      </c>
      <c r="L104" s="29" t="str">
        <f t="shared" si="7"/>
        <v/>
      </c>
    </row>
    <row r="105" spans="1:12" ht="15" customHeight="1" x14ac:dyDescent="0.45">
      <c r="A105" s="26" t="s">
        <v>1073</v>
      </c>
      <c r="B105" s="9" t="s">
        <v>13</v>
      </c>
      <c r="C105" s="9" t="s">
        <v>14</v>
      </c>
      <c r="D105" s="9">
        <v>5</v>
      </c>
      <c r="E105" s="9" t="s">
        <v>22</v>
      </c>
      <c r="F105" s="9" t="s">
        <v>23</v>
      </c>
      <c r="G105" s="4">
        <v>380000</v>
      </c>
      <c r="H105" s="10">
        <f>SUMIFS(Raw_Actuals!$H:$H,Raw_Actuals!$E:$E,B105,Raw_Actuals!$F:$F,C105,Raw_Actuals!$B:$B,D105)</f>
        <v>417700</v>
      </c>
      <c r="I105" s="11">
        <f t="shared" si="4"/>
        <v>37700</v>
      </c>
      <c r="J105" s="12">
        <f t="shared" si="5"/>
        <v>9.9210526315789471E-2</v>
      </c>
      <c r="K105" s="13" t="str">
        <f t="shared" si="6"/>
        <v>🟢 On Track</v>
      </c>
      <c r="L105" s="28" t="str">
        <f t="shared" si="7"/>
        <v/>
      </c>
    </row>
    <row r="106" spans="1:12" ht="15" customHeight="1" x14ac:dyDescent="0.45">
      <c r="A106" s="27" t="s">
        <v>1074</v>
      </c>
      <c r="B106" s="14" t="s">
        <v>13</v>
      </c>
      <c r="C106" s="14" t="s">
        <v>102</v>
      </c>
      <c r="D106" s="14">
        <v>5</v>
      </c>
      <c r="E106" s="14" t="s">
        <v>22</v>
      </c>
      <c r="F106" s="14" t="s">
        <v>23</v>
      </c>
      <c r="G106" s="7">
        <v>150000</v>
      </c>
      <c r="H106" s="15">
        <f>SUMIFS(Raw_Actuals!$H:$H,Raw_Actuals!$E:$E,B106,Raw_Actuals!$F:$F,C106,Raw_Actuals!$B:$B,D106)</f>
        <v>207000</v>
      </c>
      <c r="I106" s="16">
        <f t="shared" si="4"/>
        <v>57000</v>
      </c>
      <c r="J106" s="17">
        <f t="shared" si="5"/>
        <v>0.38</v>
      </c>
      <c r="K106" s="18" t="str">
        <f t="shared" si="6"/>
        <v>🔴 Over Budget</v>
      </c>
      <c r="L106" s="29" t="str">
        <f t="shared" si="7"/>
        <v>Overspend: review with dept head</v>
      </c>
    </row>
    <row r="107" spans="1:12" ht="15" customHeight="1" x14ac:dyDescent="0.45">
      <c r="A107" s="26" t="s">
        <v>1075</v>
      </c>
      <c r="B107" s="9" t="s">
        <v>13</v>
      </c>
      <c r="C107" s="9" t="s">
        <v>50</v>
      </c>
      <c r="D107" s="9">
        <v>5</v>
      </c>
      <c r="E107" s="9" t="s">
        <v>22</v>
      </c>
      <c r="F107" s="9" t="s">
        <v>23</v>
      </c>
      <c r="G107" s="4">
        <v>70000</v>
      </c>
      <c r="H107" s="10">
        <f>SUMIFS(Raw_Actuals!$H:$H,Raw_Actuals!$E:$E,B107,Raw_Actuals!$F:$F,C107,Raw_Actuals!$B:$B,D107)</f>
        <v>67000</v>
      </c>
      <c r="I107" s="11">
        <f t="shared" si="4"/>
        <v>-3000</v>
      </c>
      <c r="J107" s="12">
        <f t="shared" si="5"/>
        <v>-4.2857142857142858E-2</v>
      </c>
      <c r="K107" s="13" t="str">
        <f t="shared" si="6"/>
        <v>🟢 On Track</v>
      </c>
      <c r="L107" s="28" t="str">
        <f t="shared" si="7"/>
        <v/>
      </c>
    </row>
    <row r="108" spans="1:12" ht="15" customHeight="1" x14ac:dyDescent="0.45">
      <c r="A108" s="27" t="s">
        <v>1076</v>
      </c>
      <c r="B108" s="14" t="s">
        <v>13</v>
      </c>
      <c r="C108" s="14" t="s">
        <v>63</v>
      </c>
      <c r="D108" s="14">
        <v>5</v>
      </c>
      <c r="E108" s="14" t="s">
        <v>22</v>
      </c>
      <c r="F108" s="14" t="s">
        <v>23</v>
      </c>
      <c r="G108" s="7">
        <v>25000</v>
      </c>
      <c r="H108" s="15">
        <f>SUMIFS(Raw_Actuals!$H:$H,Raw_Actuals!$E:$E,B108,Raw_Actuals!$F:$F,C108,Raw_Actuals!$B:$B,D108)</f>
        <v>21300</v>
      </c>
      <c r="I108" s="16">
        <f t="shared" si="4"/>
        <v>-3700</v>
      </c>
      <c r="J108" s="17">
        <f t="shared" si="5"/>
        <v>-0.14799999999999999</v>
      </c>
      <c r="K108" s="18" t="str">
        <f t="shared" si="6"/>
        <v>🟡 Under Budget</v>
      </c>
      <c r="L108" s="29" t="str">
        <f t="shared" si="7"/>
        <v>Underspend: check if deferred</v>
      </c>
    </row>
    <row r="109" spans="1:12" ht="15" customHeight="1" x14ac:dyDescent="0.45">
      <c r="A109" s="26" t="s">
        <v>1077</v>
      </c>
      <c r="B109" s="9" t="s">
        <v>24</v>
      </c>
      <c r="C109" s="9" t="s">
        <v>14</v>
      </c>
      <c r="D109" s="9">
        <v>5</v>
      </c>
      <c r="E109" s="9" t="s">
        <v>22</v>
      </c>
      <c r="F109" s="9" t="s">
        <v>23</v>
      </c>
      <c r="G109" s="4">
        <v>500000</v>
      </c>
      <c r="H109" s="10">
        <f>SUMIFS(Raw_Actuals!$H:$H,Raw_Actuals!$E:$E,B109,Raw_Actuals!$F:$F,C109,Raw_Actuals!$B:$B,D109)</f>
        <v>498300</v>
      </c>
      <c r="I109" s="11">
        <f t="shared" si="4"/>
        <v>-1700</v>
      </c>
      <c r="J109" s="12">
        <f t="shared" si="5"/>
        <v>-3.3999999999999998E-3</v>
      </c>
      <c r="K109" s="13" t="str">
        <f t="shared" si="6"/>
        <v>🟢 On Track</v>
      </c>
      <c r="L109" s="28" t="str">
        <f t="shared" si="7"/>
        <v/>
      </c>
    </row>
    <row r="110" spans="1:12" ht="15" customHeight="1" x14ac:dyDescent="0.45">
      <c r="A110" s="27" t="s">
        <v>1078</v>
      </c>
      <c r="B110" s="14" t="s">
        <v>24</v>
      </c>
      <c r="C110" s="14" t="s">
        <v>36</v>
      </c>
      <c r="D110" s="14">
        <v>5</v>
      </c>
      <c r="E110" s="14" t="s">
        <v>22</v>
      </c>
      <c r="F110" s="14" t="s">
        <v>23</v>
      </c>
      <c r="G110" s="7">
        <v>90000</v>
      </c>
      <c r="H110" s="15">
        <f>SUMIFS(Raw_Actuals!$H:$H,Raw_Actuals!$E:$E,B110,Raw_Actuals!$F:$F,C110,Raw_Actuals!$B:$B,D110)</f>
        <v>89800</v>
      </c>
      <c r="I110" s="16">
        <f t="shared" si="4"/>
        <v>-200</v>
      </c>
      <c r="J110" s="17">
        <f t="shared" si="5"/>
        <v>-2.2222222222222222E-3</v>
      </c>
      <c r="K110" s="18" t="str">
        <f t="shared" si="6"/>
        <v>🟢 On Track</v>
      </c>
      <c r="L110" s="29" t="str">
        <f t="shared" si="7"/>
        <v/>
      </c>
    </row>
    <row r="111" spans="1:12" ht="15" customHeight="1" x14ac:dyDescent="0.45">
      <c r="A111" s="26" t="s">
        <v>1079</v>
      </c>
      <c r="B111" s="9" t="s">
        <v>24</v>
      </c>
      <c r="C111" s="9" t="s">
        <v>25</v>
      </c>
      <c r="D111" s="9">
        <v>5</v>
      </c>
      <c r="E111" s="9" t="s">
        <v>22</v>
      </c>
      <c r="F111" s="9" t="s">
        <v>23</v>
      </c>
      <c r="G111" s="4">
        <v>80000</v>
      </c>
      <c r="H111" s="10">
        <f>SUMIFS(Raw_Actuals!$H:$H,Raw_Actuals!$E:$E,B111,Raw_Actuals!$F:$F,C111,Raw_Actuals!$B:$B,D111)</f>
        <v>84600</v>
      </c>
      <c r="I111" s="11">
        <f t="shared" si="4"/>
        <v>4600</v>
      </c>
      <c r="J111" s="12">
        <f t="shared" si="5"/>
        <v>5.7500000000000002E-2</v>
      </c>
      <c r="K111" s="13" t="str">
        <f t="shared" si="6"/>
        <v>🟢 On Track</v>
      </c>
      <c r="L111" s="28" t="str">
        <f t="shared" si="7"/>
        <v/>
      </c>
    </row>
    <row r="112" spans="1:12" ht="15" customHeight="1" x14ac:dyDescent="0.45">
      <c r="A112" s="27" t="s">
        <v>1080</v>
      </c>
      <c r="B112" s="14" t="s">
        <v>24</v>
      </c>
      <c r="C112" s="14" t="s">
        <v>44</v>
      </c>
      <c r="D112" s="14">
        <v>5</v>
      </c>
      <c r="E112" s="14" t="s">
        <v>22</v>
      </c>
      <c r="F112" s="14" t="s">
        <v>23</v>
      </c>
      <c r="G112" s="7">
        <v>110000</v>
      </c>
      <c r="H112" s="15">
        <f>SUMIFS(Raw_Actuals!$H:$H,Raw_Actuals!$E:$E,B112,Raw_Actuals!$F:$F,C112,Raw_Actuals!$B:$B,D112)</f>
        <v>107600</v>
      </c>
      <c r="I112" s="16">
        <f t="shared" si="4"/>
        <v>-2400</v>
      </c>
      <c r="J112" s="17">
        <f t="shared" si="5"/>
        <v>-2.181818181818182E-2</v>
      </c>
      <c r="K112" s="18" t="str">
        <f t="shared" si="6"/>
        <v>🟢 On Track</v>
      </c>
      <c r="L112" s="29" t="str">
        <f t="shared" si="7"/>
        <v/>
      </c>
    </row>
    <row r="113" spans="1:12" ht="15" customHeight="1" x14ac:dyDescent="0.45">
      <c r="A113" s="26" t="s">
        <v>1081</v>
      </c>
      <c r="B113" s="9" t="s">
        <v>19</v>
      </c>
      <c r="C113" s="9" t="s">
        <v>14</v>
      </c>
      <c r="D113" s="9">
        <v>5</v>
      </c>
      <c r="E113" s="9" t="s">
        <v>22</v>
      </c>
      <c r="F113" s="9" t="s">
        <v>23</v>
      </c>
      <c r="G113" s="4">
        <v>350000</v>
      </c>
      <c r="H113" s="10">
        <f>SUMIFS(Raw_Actuals!$H:$H,Raw_Actuals!$E:$E,B113,Raw_Actuals!$F:$F,C113,Raw_Actuals!$B:$B,D113)</f>
        <v>373200</v>
      </c>
      <c r="I113" s="11">
        <f t="shared" si="4"/>
        <v>23200</v>
      </c>
      <c r="J113" s="12">
        <f t="shared" si="5"/>
        <v>6.6285714285714281E-2</v>
      </c>
      <c r="K113" s="13" t="str">
        <f t="shared" si="6"/>
        <v>🟢 On Track</v>
      </c>
      <c r="L113" s="28" t="str">
        <f t="shared" si="7"/>
        <v/>
      </c>
    </row>
    <row r="114" spans="1:12" ht="15" customHeight="1" x14ac:dyDescent="0.45">
      <c r="A114" s="27" t="s">
        <v>1082</v>
      </c>
      <c r="B114" s="14" t="s">
        <v>19</v>
      </c>
      <c r="C114" s="14" t="s">
        <v>53</v>
      </c>
      <c r="D114" s="14">
        <v>5</v>
      </c>
      <c r="E114" s="14" t="s">
        <v>22</v>
      </c>
      <c r="F114" s="14" t="s">
        <v>23</v>
      </c>
      <c r="G114" s="7">
        <v>60000</v>
      </c>
      <c r="H114" s="15">
        <f>SUMIFS(Raw_Actuals!$H:$H,Raw_Actuals!$E:$E,B114,Raw_Actuals!$F:$F,C114,Raw_Actuals!$B:$B,D114)</f>
        <v>54900</v>
      </c>
      <c r="I114" s="16">
        <f t="shared" si="4"/>
        <v>-5100</v>
      </c>
      <c r="J114" s="17">
        <f t="shared" si="5"/>
        <v>-8.5000000000000006E-2</v>
      </c>
      <c r="K114" s="18" t="str">
        <f t="shared" si="6"/>
        <v>🟢 On Track</v>
      </c>
      <c r="L114" s="29" t="str">
        <f t="shared" si="7"/>
        <v/>
      </c>
    </row>
    <row r="115" spans="1:12" ht="15" customHeight="1" x14ac:dyDescent="0.45">
      <c r="A115" s="26" t="s">
        <v>1083</v>
      </c>
      <c r="B115" s="9" t="s">
        <v>19</v>
      </c>
      <c r="C115" s="9" t="s">
        <v>31</v>
      </c>
      <c r="D115" s="9">
        <v>5</v>
      </c>
      <c r="E115" s="9" t="s">
        <v>22</v>
      </c>
      <c r="F115" s="9" t="s">
        <v>23</v>
      </c>
      <c r="G115" s="4">
        <v>45000</v>
      </c>
      <c r="H115" s="10">
        <f>SUMIFS(Raw_Actuals!$H:$H,Raw_Actuals!$E:$E,B115,Raw_Actuals!$F:$F,C115,Raw_Actuals!$B:$B,D115)</f>
        <v>51500</v>
      </c>
      <c r="I115" s="11">
        <f t="shared" si="4"/>
        <v>6500</v>
      </c>
      <c r="J115" s="12">
        <f t="shared" si="5"/>
        <v>0.14444444444444443</v>
      </c>
      <c r="K115" s="13" t="str">
        <f t="shared" si="6"/>
        <v>🟢 On Track</v>
      </c>
      <c r="L115" s="28" t="str">
        <f t="shared" si="7"/>
        <v/>
      </c>
    </row>
    <row r="116" spans="1:12" ht="15" customHeight="1" x14ac:dyDescent="0.45">
      <c r="A116" s="27" t="s">
        <v>1084</v>
      </c>
      <c r="B116" s="14" t="s">
        <v>19</v>
      </c>
      <c r="C116" s="14" t="s">
        <v>63</v>
      </c>
      <c r="D116" s="14">
        <v>5</v>
      </c>
      <c r="E116" s="14" t="s">
        <v>22</v>
      </c>
      <c r="F116" s="14" t="s">
        <v>23</v>
      </c>
      <c r="G116" s="7">
        <v>20000</v>
      </c>
      <c r="H116" s="15">
        <f>SUMIFS(Raw_Actuals!$H:$H,Raw_Actuals!$E:$E,B116,Raw_Actuals!$F:$F,C116,Raw_Actuals!$B:$B,D116)</f>
        <v>18900</v>
      </c>
      <c r="I116" s="16">
        <f t="shared" si="4"/>
        <v>-1100</v>
      </c>
      <c r="J116" s="17">
        <f t="shared" si="5"/>
        <v>-5.5E-2</v>
      </c>
      <c r="K116" s="18" t="str">
        <f t="shared" si="6"/>
        <v>🟢 On Track</v>
      </c>
      <c r="L116" s="29" t="str">
        <f t="shared" si="7"/>
        <v/>
      </c>
    </row>
    <row r="117" spans="1:12" ht="15" customHeight="1" x14ac:dyDescent="0.45">
      <c r="A117" s="26" t="s">
        <v>1085</v>
      </c>
      <c r="B117" s="9" t="s">
        <v>35</v>
      </c>
      <c r="C117" s="9" t="s">
        <v>14</v>
      </c>
      <c r="D117" s="9">
        <v>5</v>
      </c>
      <c r="E117" s="9" t="s">
        <v>22</v>
      </c>
      <c r="F117" s="9" t="s">
        <v>23</v>
      </c>
      <c r="G117" s="4">
        <v>290000</v>
      </c>
      <c r="H117" s="10">
        <f>SUMIFS(Raw_Actuals!$H:$H,Raw_Actuals!$E:$E,B117,Raw_Actuals!$F:$F,C117,Raw_Actuals!$B:$B,D117)</f>
        <v>302000</v>
      </c>
      <c r="I117" s="11">
        <f t="shared" si="4"/>
        <v>12000</v>
      </c>
      <c r="J117" s="12">
        <f t="shared" si="5"/>
        <v>4.1379310344827586E-2</v>
      </c>
      <c r="K117" s="13" t="str">
        <f t="shared" si="6"/>
        <v>🟢 On Track</v>
      </c>
      <c r="L117" s="28" t="str">
        <f t="shared" si="7"/>
        <v/>
      </c>
    </row>
    <row r="118" spans="1:12" ht="15" customHeight="1" x14ac:dyDescent="0.45">
      <c r="A118" s="27" t="s">
        <v>1086</v>
      </c>
      <c r="B118" s="14" t="s">
        <v>35</v>
      </c>
      <c r="C118" s="14" t="s">
        <v>105</v>
      </c>
      <c r="D118" s="14">
        <v>5</v>
      </c>
      <c r="E118" s="14" t="s">
        <v>22</v>
      </c>
      <c r="F118" s="14" t="s">
        <v>23</v>
      </c>
      <c r="G118" s="7">
        <v>40000</v>
      </c>
      <c r="H118" s="15">
        <f>SUMIFS(Raw_Actuals!$H:$H,Raw_Actuals!$E:$E,B118,Raw_Actuals!$F:$F,C118,Raw_Actuals!$B:$B,D118)</f>
        <v>39300</v>
      </c>
      <c r="I118" s="16">
        <f t="shared" si="4"/>
        <v>-700</v>
      </c>
      <c r="J118" s="17">
        <f t="shared" si="5"/>
        <v>-1.7500000000000002E-2</v>
      </c>
      <c r="K118" s="18" t="str">
        <f t="shared" si="6"/>
        <v>🟢 On Track</v>
      </c>
      <c r="L118" s="29" t="str">
        <f t="shared" si="7"/>
        <v/>
      </c>
    </row>
    <row r="119" spans="1:12" ht="15" customHeight="1" x14ac:dyDescent="0.45">
      <c r="A119" s="26" t="s">
        <v>1087</v>
      </c>
      <c r="B119" s="9" t="s">
        <v>35</v>
      </c>
      <c r="C119" s="9" t="s">
        <v>36</v>
      </c>
      <c r="D119" s="9">
        <v>5</v>
      </c>
      <c r="E119" s="9" t="s">
        <v>22</v>
      </c>
      <c r="F119" s="9" t="s">
        <v>23</v>
      </c>
      <c r="G119" s="4">
        <v>30000</v>
      </c>
      <c r="H119" s="10">
        <f>SUMIFS(Raw_Actuals!$H:$H,Raw_Actuals!$E:$E,B119,Raw_Actuals!$F:$F,C119,Raw_Actuals!$B:$B,D119)</f>
        <v>26500</v>
      </c>
      <c r="I119" s="11">
        <f t="shared" si="4"/>
        <v>-3500</v>
      </c>
      <c r="J119" s="12">
        <f t="shared" si="5"/>
        <v>-0.11666666666666667</v>
      </c>
      <c r="K119" s="13" t="str">
        <f t="shared" si="6"/>
        <v>🟡 Under Budget</v>
      </c>
      <c r="L119" s="28" t="str">
        <f t="shared" si="7"/>
        <v>Underspend: check if deferred</v>
      </c>
    </row>
    <row r="120" spans="1:12" ht="15" customHeight="1" x14ac:dyDescent="0.45">
      <c r="A120" s="27" t="s">
        <v>1088</v>
      </c>
      <c r="B120" s="14" t="s">
        <v>35</v>
      </c>
      <c r="C120" s="14" t="s">
        <v>75</v>
      </c>
      <c r="D120" s="14">
        <v>5</v>
      </c>
      <c r="E120" s="14" t="s">
        <v>22</v>
      </c>
      <c r="F120" s="14" t="s">
        <v>23</v>
      </c>
      <c r="G120" s="7">
        <v>15000</v>
      </c>
      <c r="H120" s="15">
        <f>SUMIFS(Raw_Actuals!$H:$H,Raw_Actuals!$E:$E,B120,Raw_Actuals!$F:$F,C120,Raw_Actuals!$B:$B,D120)</f>
        <v>15600</v>
      </c>
      <c r="I120" s="16">
        <f t="shared" si="4"/>
        <v>600</v>
      </c>
      <c r="J120" s="17">
        <f t="shared" si="5"/>
        <v>0.04</v>
      </c>
      <c r="K120" s="18" t="str">
        <f t="shared" si="6"/>
        <v>🟢 On Track</v>
      </c>
      <c r="L120" s="29" t="str">
        <f t="shared" si="7"/>
        <v/>
      </c>
    </row>
    <row r="121" spans="1:12" ht="15" customHeight="1" x14ac:dyDescent="0.45">
      <c r="A121" s="26" t="s">
        <v>1089</v>
      </c>
      <c r="B121" s="9" t="s">
        <v>71</v>
      </c>
      <c r="C121" s="9" t="s">
        <v>14</v>
      </c>
      <c r="D121" s="9">
        <v>5</v>
      </c>
      <c r="E121" s="9" t="s">
        <v>22</v>
      </c>
      <c r="F121" s="9" t="s">
        <v>23</v>
      </c>
      <c r="G121" s="4">
        <v>410000</v>
      </c>
      <c r="H121" s="10">
        <f>SUMIFS(Raw_Actuals!$H:$H,Raw_Actuals!$E:$E,B121,Raw_Actuals!$F:$F,C121,Raw_Actuals!$B:$B,D121)</f>
        <v>359000</v>
      </c>
      <c r="I121" s="11">
        <f t="shared" si="4"/>
        <v>-51000</v>
      </c>
      <c r="J121" s="12">
        <f t="shared" si="5"/>
        <v>-0.12439024390243902</v>
      </c>
      <c r="K121" s="13" t="str">
        <f t="shared" si="6"/>
        <v>🟡 Under Budget</v>
      </c>
      <c r="L121" s="28" t="str">
        <f t="shared" si="7"/>
        <v>Underspend: check if deferred</v>
      </c>
    </row>
    <row r="122" spans="1:12" ht="15" customHeight="1" x14ac:dyDescent="0.45">
      <c r="A122" s="27" t="s">
        <v>1090</v>
      </c>
      <c r="B122" s="14" t="s">
        <v>71</v>
      </c>
      <c r="C122" s="14" t="s">
        <v>88</v>
      </c>
      <c r="D122" s="14">
        <v>5</v>
      </c>
      <c r="E122" s="14" t="s">
        <v>22</v>
      </c>
      <c r="F122" s="14" t="s">
        <v>23</v>
      </c>
      <c r="G122" s="7">
        <v>200000</v>
      </c>
      <c r="H122" s="15">
        <f>SUMIFS(Raw_Actuals!$H:$H,Raw_Actuals!$E:$E,B122,Raw_Actuals!$F:$F,C122,Raw_Actuals!$B:$B,D122)</f>
        <v>205700</v>
      </c>
      <c r="I122" s="16">
        <f t="shared" si="4"/>
        <v>5700</v>
      </c>
      <c r="J122" s="17">
        <f t="shared" si="5"/>
        <v>2.8500000000000001E-2</v>
      </c>
      <c r="K122" s="18" t="str">
        <f t="shared" si="6"/>
        <v>🟢 On Track</v>
      </c>
      <c r="L122" s="29" t="str">
        <f t="shared" si="7"/>
        <v/>
      </c>
    </row>
    <row r="123" spans="1:12" ht="15" customHeight="1" x14ac:dyDescent="0.45">
      <c r="A123" s="26" t="s">
        <v>1091</v>
      </c>
      <c r="B123" s="9" t="s">
        <v>71</v>
      </c>
      <c r="C123" s="9" t="s">
        <v>63</v>
      </c>
      <c r="D123" s="9">
        <v>5</v>
      </c>
      <c r="E123" s="9" t="s">
        <v>22</v>
      </c>
      <c r="F123" s="9" t="s">
        <v>23</v>
      </c>
      <c r="G123" s="4">
        <v>55000</v>
      </c>
      <c r="H123" s="10">
        <f>SUMIFS(Raw_Actuals!$H:$H,Raw_Actuals!$E:$E,B123,Raw_Actuals!$F:$F,C123,Raw_Actuals!$B:$B,D123)</f>
        <v>51800</v>
      </c>
      <c r="I123" s="11">
        <f t="shared" si="4"/>
        <v>-3200</v>
      </c>
      <c r="J123" s="12">
        <f t="shared" si="5"/>
        <v>-5.8181818181818182E-2</v>
      </c>
      <c r="K123" s="13" t="str">
        <f t="shared" si="6"/>
        <v>🟢 On Track</v>
      </c>
      <c r="L123" s="28" t="str">
        <f t="shared" si="7"/>
        <v/>
      </c>
    </row>
    <row r="124" spans="1:12" ht="15" customHeight="1" x14ac:dyDescent="0.45">
      <c r="A124" s="27" t="s">
        <v>1092</v>
      </c>
      <c r="B124" s="14" t="s">
        <v>71</v>
      </c>
      <c r="C124" s="14" t="s">
        <v>94</v>
      </c>
      <c r="D124" s="14">
        <v>5</v>
      </c>
      <c r="E124" s="14" t="s">
        <v>22</v>
      </c>
      <c r="F124" s="14" t="s">
        <v>23</v>
      </c>
      <c r="G124" s="7">
        <v>30000</v>
      </c>
      <c r="H124" s="15">
        <f>SUMIFS(Raw_Actuals!$H:$H,Raw_Actuals!$E:$E,B124,Raw_Actuals!$F:$F,C124,Raw_Actuals!$B:$B,D124)</f>
        <v>31400</v>
      </c>
      <c r="I124" s="16">
        <f t="shared" si="4"/>
        <v>1400</v>
      </c>
      <c r="J124" s="17">
        <f t="shared" si="5"/>
        <v>4.6666666666666669E-2</v>
      </c>
      <c r="K124" s="18" t="str">
        <f t="shared" si="6"/>
        <v>🟢 On Track</v>
      </c>
      <c r="L124" s="29" t="str">
        <f t="shared" si="7"/>
        <v/>
      </c>
    </row>
    <row r="125" spans="1:12" ht="15" customHeight="1" x14ac:dyDescent="0.45">
      <c r="A125" s="26" t="s">
        <v>1093</v>
      </c>
      <c r="B125" s="9" t="s">
        <v>57</v>
      </c>
      <c r="C125" s="9" t="s">
        <v>14</v>
      </c>
      <c r="D125" s="9">
        <v>6</v>
      </c>
      <c r="E125" s="9" t="s">
        <v>78</v>
      </c>
      <c r="F125" s="9" t="s">
        <v>23</v>
      </c>
      <c r="G125" s="4">
        <v>462000</v>
      </c>
      <c r="H125" s="10">
        <f>SUMIFS(Raw_Actuals!$H:$H,Raw_Actuals!$E:$E,B125,Raw_Actuals!$F:$F,C125,Raw_Actuals!$B:$B,D125)</f>
        <v>376700</v>
      </c>
      <c r="I125" s="11">
        <f t="shared" si="4"/>
        <v>-85300</v>
      </c>
      <c r="J125" s="12">
        <f t="shared" si="5"/>
        <v>-0.18463203463203462</v>
      </c>
      <c r="K125" s="13" t="str">
        <f t="shared" si="6"/>
        <v>🟡 Under Budget</v>
      </c>
      <c r="L125" s="28" t="str">
        <f t="shared" si="7"/>
        <v>Underspend: check if deferred</v>
      </c>
    </row>
    <row r="126" spans="1:12" ht="15" customHeight="1" x14ac:dyDescent="0.45">
      <c r="A126" s="27" t="s">
        <v>1094</v>
      </c>
      <c r="B126" s="14" t="s">
        <v>57</v>
      </c>
      <c r="C126" s="14" t="s">
        <v>75</v>
      </c>
      <c r="D126" s="14">
        <v>6</v>
      </c>
      <c r="E126" s="14" t="s">
        <v>78</v>
      </c>
      <c r="F126" s="14" t="s">
        <v>23</v>
      </c>
      <c r="G126" s="7">
        <v>38000</v>
      </c>
      <c r="H126" s="15">
        <f>SUMIFS(Raw_Actuals!$H:$H,Raw_Actuals!$E:$E,B126,Raw_Actuals!$F:$F,C126,Raw_Actuals!$B:$B,D126)</f>
        <v>32800</v>
      </c>
      <c r="I126" s="16">
        <f t="shared" si="4"/>
        <v>-5200</v>
      </c>
      <c r="J126" s="17">
        <f t="shared" si="5"/>
        <v>-0.1368421052631579</v>
      </c>
      <c r="K126" s="18" t="str">
        <f t="shared" si="6"/>
        <v>🟡 Under Budget</v>
      </c>
      <c r="L126" s="29" t="str">
        <f t="shared" si="7"/>
        <v>Underspend: check if deferred</v>
      </c>
    </row>
    <row r="127" spans="1:12" ht="15" customHeight="1" x14ac:dyDescent="0.45">
      <c r="A127" s="26" t="s">
        <v>1095</v>
      </c>
      <c r="B127" s="9" t="s">
        <v>57</v>
      </c>
      <c r="C127" s="9" t="s">
        <v>85</v>
      </c>
      <c r="D127" s="9">
        <v>6</v>
      </c>
      <c r="E127" s="9" t="s">
        <v>78</v>
      </c>
      <c r="F127" s="9" t="s">
        <v>23</v>
      </c>
      <c r="G127" s="4">
        <v>61000</v>
      </c>
      <c r="H127" s="10">
        <f>SUMIFS(Raw_Actuals!$H:$H,Raw_Actuals!$E:$E,B127,Raw_Actuals!$F:$F,C127,Raw_Actuals!$B:$B,D127)</f>
        <v>85300</v>
      </c>
      <c r="I127" s="11">
        <f t="shared" si="4"/>
        <v>24300</v>
      </c>
      <c r="J127" s="12">
        <f t="shared" si="5"/>
        <v>0.39836065573770491</v>
      </c>
      <c r="K127" s="13" t="str">
        <f t="shared" si="6"/>
        <v>🔴 Over Budget</v>
      </c>
      <c r="L127" s="28" t="str">
        <f t="shared" si="7"/>
        <v>Overspend: review with dept head</v>
      </c>
    </row>
    <row r="128" spans="1:12" ht="15" customHeight="1" x14ac:dyDescent="0.45">
      <c r="A128" s="27" t="s">
        <v>1096</v>
      </c>
      <c r="B128" s="14" t="s">
        <v>57</v>
      </c>
      <c r="C128" s="14" t="s">
        <v>63</v>
      </c>
      <c r="D128" s="14">
        <v>6</v>
      </c>
      <c r="E128" s="14" t="s">
        <v>78</v>
      </c>
      <c r="F128" s="14" t="s">
        <v>23</v>
      </c>
      <c r="G128" s="7">
        <v>20000</v>
      </c>
      <c r="H128" s="15">
        <f>SUMIFS(Raw_Actuals!$H:$H,Raw_Actuals!$E:$E,B128,Raw_Actuals!$F:$F,C128,Raw_Actuals!$B:$B,D128)</f>
        <v>16200</v>
      </c>
      <c r="I128" s="16">
        <f t="shared" si="4"/>
        <v>-3800</v>
      </c>
      <c r="J128" s="17">
        <f t="shared" si="5"/>
        <v>-0.19</v>
      </c>
      <c r="K128" s="18" t="str">
        <f t="shared" si="6"/>
        <v>🟡 Under Budget</v>
      </c>
      <c r="L128" s="29" t="str">
        <f t="shared" si="7"/>
        <v>Underspend: check if deferred</v>
      </c>
    </row>
    <row r="129" spans="1:12" ht="15" customHeight="1" x14ac:dyDescent="0.45">
      <c r="A129" s="26" t="s">
        <v>1097</v>
      </c>
      <c r="B129" s="9" t="s">
        <v>13</v>
      </c>
      <c r="C129" s="9" t="s">
        <v>14</v>
      </c>
      <c r="D129" s="9">
        <v>6</v>
      </c>
      <c r="E129" s="9" t="s">
        <v>78</v>
      </c>
      <c r="F129" s="9" t="s">
        <v>23</v>
      </c>
      <c r="G129" s="4">
        <v>418000</v>
      </c>
      <c r="H129" s="10">
        <f>SUMIFS(Raw_Actuals!$H:$H,Raw_Actuals!$E:$E,B129,Raw_Actuals!$F:$F,C129,Raw_Actuals!$B:$B,D129)</f>
        <v>408400</v>
      </c>
      <c r="I129" s="11">
        <f t="shared" si="4"/>
        <v>-9600</v>
      </c>
      <c r="J129" s="12">
        <f t="shared" si="5"/>
        <v>-2.2966507177033493E-2</v>
      </c>
      <c r="K129" s="13" t="str">
        <f t="shared" si="6"/>
        <v>🟢 On Track</v>
      </c>
      <c r="L129" s="28" t="str">
        <f t="shared" si="7"/>
        <v/>
      </c>
    </row>
    <row r="130" spans="1:12" ht="15" customHeight="1" x14ac:dyDescent="0.45">
      <c r="A130" s="27" t="s">
        <v>1098</v>
      </c>
      <c r="B130" s="14" t="s">
        <v>13</v>
      </c>
      <c r="C130" s="14" t="s">
        <v>102</v>
      </c>
      <c r="D130" s="14">
        <v>6</v>
      </c>
      <c r="E130" s="14" t="s">
        <v>78</v>
      </c>
      <c r="F130" s="14" t="s">
        <v>23</v>
      </c>
      <c r="G130" s="7">
        <v>165000</v>
      </c>
      <c r="H130" s="15">
        <f>SUMIFS(Raw_Actuals!$H:$H,Raw_Actuals!$E:$E,B130,Raw_Actuals!$F:$F,C130,Raw_Actuals!$B:$B,D130)</f>
        <v>150000</v>
      </c>
      <c r="I130" s="16">
        <f t="shared" si="4"/>
        <v>-15000</v>
      </c>
      <c r="J130" s="17">
        <f t="shared" si="5"/>
        <v>-9.0909090909090912E-2</v>
      </c>
      <c r="K130" s="18" t="str">
        <f t="shared" si="6"/>
        <v>🟢 On Track</v>
      </c>
      <c r="L130" s="29" t="str">
        <f t="shared" si="7"/>
        <v/>
      </c>
    </row>
    <row r="131" spans="1:12" ht="15" customHeight="1" x14ac:dyDescent="0.45">
      <c r="A131" s="26" t="s">
        <v>1099</v>
      </c>
      <c r="B131" s="9" t="s">
        <v>13</v>
      </c>
      <c r="C131" s="9" t="s">
        <v>50</v>
      </c>
      <c r="D131" s="9">
        <v>6</v>
      </c>
      <c r="E131" s="9" t="s">
        <v>78</v>
      </c>
      <c r="F131" s="9" t="s">
        <v>23</v>
      </c>
      <c r="G131" s="4">
        <v>77000</v>
      </c>
      <c r="H131" s="10">
        <f>SUMIFS(Raw_Actuals!$H:$H,Raw_Actuals!$E:$E,B131,Raw_Actuals!$F:$F,C131,Raw_Actuals!$B:$B,D131)</f>
        <v>72200</v>
      </c>
      <c r="I131" s="11">
        <f t="shared" si="4"/>
        <v>-4800</v>
      </c>
      <c r="J131" s="12">
        <f t="shared" si="5"/>
        <v>-6.2337662337662338E-2</v>
      </c>
      <c r="K131" s="13" t="str">
        <f t="shared" si="6"/>
        <v>🟢 On Track</v>
      </c>
      <c r="L131" s="28" t="str">
        <f t="shared" si="7"/>
        <v/>
      </c>
    </row>
    <row r="132" spans="1:12" ht="15" customHeight="1" x14ac:dyDescent="0.45">
      <c r="A132" s="27" t="s">
        <v>1100</v>
      </c>
      <c r="B132" s="14" t="s">
        <v>13</v>
      </c>
      <c r="C132" s="14" t="s">
        <v>63</v>
      </c>
      <c r="D132" s="14">
        <v>6</v>
      </c>
      <c r="E132" s="14" t="s">
        <v>78</v>
      </c>
      <c r="F132" s="14" t="s">
        <v>23</v>
      </c>
      <c r="G132" s="7">
        <v>28000</v>
      </c>
      <c r="H132" s="15">
        <f>SUMIFS(Raw_Actuals!$H:$H,Raw_Actuals!$E:$E,B132,Raw_Actuals!$F:$F,C132,Raw_Actuals!$B:$B,D132)</f>
        <v>25600</v>
      </c>
      <c r="I132" s="16">
        <f t="shared" si="4"/>
        <v>-2400</v>
      </c>
      <c r="J132" s="17">
        <f t="shared" si="5"/>
        <v>-8.5714285714285715E-2</v>
      </c>
      <c r="K132" s="18" t="str">
        <f t="shared" si="6"/>
        <v>🟢 On Track</v>
      </c>
      <c r="L132" s="29" t="str">
        <f t="shared" si="7"/>
        <v/>
      </c>
    </row>
    <row r="133" spans="1:12" ht="15" customHeight="1" x14ac:dyDescent="0.45">
      <c r="A133" s="26" t="s">
        <v>1101</v>
      </c>
      <c r="B133" s="9" t="s">
        <v>24</v>
      </c>
      <c r="C133" s="9" t="s">
        <v>14</v>
      </c>
      <c r="D133" s="9">
        <v>6</v>
      </c>
      <c r="E133" s="9" t="s">
        <v>78</v>
      </c>
      <c r="F133" s="9" t="s">
        <v>23</v>
      </c>
      <c r="G133" s="4">
        <v>550000</v>
      </c>
      <c r="H133" s="10">
        <f>SUMIFS(Raw_Actuals!$H:$H,Raw_Actuals!$E:$E,B133,Raw_Actuals!$F:$F,C133,Raw_Actuals!$B:$B,D133)</f>
        <v>511400</v>
      </c>
      <c r="I133" s="11">
        <f t="shared" ref="I133:I196" si="8">H133-G133</f>
        <v>-38600</v>
      </c>
      <c r="J133" s="12">
        <f t="shared" ref="J133:J196" si="9">IFERROR(I133/G133,0)</f>
        <v>-7.0181818181818179E-2</v>
      </c>
      <c r="K133" s="13" t="str">
        <f t="shared" ref="K133:K196" si="10">IF(J133&gt;0.15,"🔴 Over Budget",IF(J133&lt;-0.1,"🟡 Under Budget","🟢 On Track"))</f>
        <v>🟢 On Track</v>
      </c>
      <c r="L133" s="28" t="str">
        <f t="shared" ref="L133:L196" si="11">IFERROR(IF(J133&gt;0.15,"Overspend: review with dept head",IF(J133&lt;-0.1,"Underspend: check if deferred","")),"")</f>
        <v/>
      </c>
    </row>
    <row r="134" spans="1:12" ht="15" customHeight="1" x14ac:dyDescent="0.45">
      <c r="A134" s="27" t="s">
        <v>1102</v>
      </c>
      <c r="B134" s="14" t="s">
        <v>24</v>
      </c>
      <c r="C134" s="14" t="s">
        <v>36</v>
      </c>
      <c r="D134" s="14">
        <v>6</v>
      </c>
      <c r="E134" s="14" t="s">
        <v>78</v>
      </c>
      <c r="F134" s="14" t="s">
        <v>23</v>
      </c>
      <c r="G134" s="7">
        <v>99000</v>
      </c>
      <c r="H134" s="15">
        <f>SUMIFS(Raw_Actuals!$H:$H,Raw_Actuals!$E:$E,B134,Raw_Actuals!$F:$F,C134,Raw_Actuals!$B:$B,D134)</f>
        <v>101200</v>
      </c>
      <c r="I134" s="16">
        <f t="shared" si="8"/>
        <v>2200</v>
      </c>
      <c r="J134" s="17">
        <f t="shared" si="9"/>
        <v>2.2222222222222223E-2</v>
      </c>
      <c r="K134" s="18" t="str">
        <f t="shared" si="10"/>
        <v>🟢 On Track</v>
      </c>
      <c r="L134" s="29" t="str">
        <f t="shared" si="11"/>
        <v/>
      </c>
    </row>
    <row r="135" spans="1:12" ht="15" customHeight="1" x14ac:dyDescent="0.45">
      <c r="A135" s="26" t="s">
        <v>1103</v>
      </c>
      <c r="B135" s="9" t="s">
        <v>24</v>
      </c>
      <c r="C135" s="9" t="s">
        <v>25</v>
      </c>
      <c r="D135" s="9">
        <v>6</v>
      </c>
      <c r="E135" s="9" t="s">
        <v>78</v>
      </c>
      <c r="F135" s="9" t="s">
        <v>23</v>
      </c>
      <c r="G135" s="4">
        <v>88000</v>
      </c>
      <c r="H135" s="10">
        <f>SUMIFS(Raw_Actuals!$H:$H,Raw_Actuals!$E:$E,B135,Raw_Actuals!$F:$F,C135,Raw_Actuals!$B:$B,D135)</f>
        <v>87500</v>
      </c>
      <c r="I135" s="11">
        <f t="shared" si="8"/>
        <v>-500</v>
      </c>
      <c r="J135" s="12">
        <f t="shared" si="9"/>
        <v>-5.681818181818182E-3</v>
      </c>
      <c r="K135" s="13" t="str">
        <f t="shared" si="10"/>
        <v>🟢 On Track</v>
      </c>
      <c r="L135" s="28" t="str">
        <f t="shared" si="11"/>
        <v/>
      </c>
    </row>
    <row r="136" spans="1:12" ht="15" customHeight="1" x14ac:dyDescent="0.45">
      <c r="A136" s="27" t="s">
        <v>1104</v>
      </c>
      <c r="B136" s="14" t="s">
        <v>24</v>
      </c>
      <c r="C136" s="14" t="s">
        <v>44</v>
      </c>
      <c r="D136" s="14">
        <v>6</v>
      </c>
      <c r="E136" s="14" t="s">
        <v>78</v>
      </c>
      <c r="F136" s="14" t="s">
        <v>23</v>
      </c>
      <c r="G136" s="7">
        <v>121000</v>
      </c>
      <c r="H136" s="15">
        <f>SUMIFS(Raw_Actuals!$H:$H,Raw_Actuals!$E:$E,B136,Raw_Actuals!$F:$F,C136,Raw_Actuals!$B:$B,D136)</f>
        <v>104100</v>
      </c>
      <c r="I136" s="16">
        <f t="shared" si="8"/>
        <v>-16900</v>
      </c>
      <c r="J136" s="17">
        <f t="shared" si="9"/>
        <v>-0.13966942148760331</v>
      </c>
      <c r="K136" s="18" t="str">
        <f t="shared" si="10"/>
        <v>🟡 Under Budget</v>
      </c>
      <c r="L136" s="29" t="str">
        <f t="shared" si="11"/>
        <v>Underspend: check if deferred</v>
      </c>
    </row>
    <row r="137" spans="1:12" ht="15" customHeight="1" x14ac:dyDescent="0.45">
      <c r="A137" s="26" t="s">
        <v>1105</v>
      </c>
      <c r="B137" s="9" t="s">
        <v>19</v>
      </c>
      <c r="C137" s="9" t="s">
        <v>14</v>
      </c>
      <c r="D137" s="9">
        <v>6</v>
      </c>
      <c r="E137" s="9" t="s">
        <v>78</v>
      </c>
      <c r="F137" s="9" t="s">
        <v>23</v>
      </c>
      <c r="G137" s="4">
        <v>385000</v>
      </c>
      <c r="H137" s="10">
        <f>SUMIFS(Raw_Actuals!$H:$H,Raw_Actuals!$E:$E,B137,Raw_Actuals!$F:$F,C137,Raw_Actuals!$B:$B,D137)</f>
        <v>370400</v>
      </c>
      <c r="I137" s="11">
        <f t="shared" si="8"/>
        <v>-14600</v>
      </c>
      <c r="J137" s="12">
        <f t="shared" si="9"/>
        <v>-3.7922077922077919E-2</v>
      </c>
      <c r="K137" s="13" t="str">
        <f t="shared" si="10"/>
        <v>🟢 On Track</v>
      </c>
      <c r="L137" s="28" t="str">
        <f t="shared" si="11"/>
        <v/>
      </c>
    </row>
    <row r="138" spans="1:12" ht="15" customHeight="1" x14ac:dyDescent="0.45">
      <c r="A138" s="27" t="s">
        <v>1106</v>
      </c>
      <c r="B138" s="14" t="s">
        <v>19</v>
      </c>
      <c r="C138" s="14" t="s">
        <v>53</v>
      </c>
      <c r="D138" s="14">
        <v>6</v>
      </c>
      <c r="E138" s="14" t="s">
        <v>78</v>
      </c>
      <c r="F138" s="14" t="s">
        <v>23</v>
      </c>
      <c r="G138" s="7">
        <v>66000</v>
      </c>
      <c r="H138" s="15">
        <f>SUMIFS(Raw_Actuals!$H:$H,Raw_Actuals!$E:$E,B138,Raw_Actuals!$F:$F,C138,Raw_Actuals!$B:$B,D138)</f>
        <v>52600</v>
      </c>
      <c r="I138" s="16">
        <f t="shared" si="8"/>
        <v>-13400</v>
      </c>
      <c r="J138" s="17">
        <f t="shared" si="9"/>
        <v>-0.20303030303030303</v>
      </c>
      <c r="K138" s="18" t="str">
        <f t="shared" si="10"/>
        <v>🟡 Under Budget</v>
      </c>
      <c r="L138" s="29" t="str">
        <f t="shared" si="11"/>
        <v>Underspend: check if deferred</v>
      </c>
    </row>
    <row r="139" spans="1:12" ht="15" customHeight="1" x14ac:dyDescent="0.45">
      <c r="A139" s="26" t="s">
        <v>1107</v>
      </c>
      <c r="B139" s="9" t="s">
        <v>19</v>
      </c>
      <c r="C139" s="9" t="s">
        <v>31</v>
      </c>
      <c r="D139" s="9">
        <v>6</v>
      </c>
      <c r="E139" s="9" t="s">
        <v>78</v>
      </c>
      <c r="F139" s="9" t="s">
        <v>23</v>
      </c>
      <c r="G139" s="4">
        <v>50000</v>
      </c>
      <c r="H139" s="10">
        <f>SUMIFS(Raw_Actuals!$H:$H,Raw_Actuals!$E:$E,B139,Raw_Actuals!$F:$F,C139,Raw_Actuals!$B:$B,D139)</f>
        <v>47200</v>
      </c>
      <c r="I139" s="11">
        <f t="shared" si="8"/>
        <v>-2800</v>
      </c>
      <c r="J139" s="12">
        <f t="shared" si="9"/>
        <v>-5.6000000000000001E-2</v>
      </c>
      <c r="K139" s="13" t="str">
        <f t="shared" si="10"/>
        <v>🟢 On Track</v>
      </c>
      <c r="L139" s="28" t="str">
        <f t="shared" si="11"/>
        <v/>
      </c>
    </row>
    <row r="140" spans="1:12" ht="15" customHeight="1" x14ac:dyDescent="0.45">
      <c r="A140" s="27" t="s">
        <v>1108</v>
      </c>
      <c r="B140" s="14" t="s">
        <v>19</v>
      </c>
      <c r="C140" s="14" t="s">
        <v>63</v>
      </c>
      <c r="D140" s="14">
        <v>6</v>
      </c>
      <c r="E140" s="14" t="s">
        <v>78</v>
      </c>
      <c r="F140" s="14" t="s">
        <v>23</v>
      </c>
      <c r="G140" s="7">
        <v>22000</v>
      </c>
      <c r="H140" s="15">
        <f>SUMIFS(Raw_Actuals!$H:$H,Raw_Actuals!$E:$E,B140,Raw_Actuals!$F:$F,C140,Raw_Actuals!$B:$B,D140)</f>
        <v>21600</v>
      </c>
      <c r="I140" s="16">
        <f t="shared" si="8"/>
        <v>-400</v>
      </c>
      <c r="J140" s="17">
        <f t="shared" si="9"/>
        <v>-1.8181818181818181E-2</v>
      </c>
      <c r="K140" s="18" t="str">
        <f t="shared" si="10"/>
        <v>🟢 On Track</v>
      </c>
      <c r="L140" s="29" t="str">
        <f t="shared" si="11"/>
        <v/>
      </c>
    </row>
    <row r="141" spans="1:12" ht="15" customHeight="1" x14ac:dyDescent="0.45">
      <c r="A141" s="26" t="s">
        <v>1109</v>
      </c>
      <c r="B141" s="9" t="s">
        <v>35</v>
      </c>
      <c r="C141" s="9" t="s">
        <v>14</v>
      </c>
      <c r="D141" s="9">
        <v>6</v>
      </c>
      <c r="E141" s="9" t="s">
        <v>78</v>
      </c>
      <c r="F141" s="9" t="s">
        <v>23</v>
      </c>
      <c r="G141" s="4">
        <v>319000</v>
      </c>
      <c r="H141" s="10">
        <f>SUMIFS(Raw_Actuals!$H:$H,Raw_Actuals!$E:$E,B141,Raw_Actuals!$F:$F,C141,Raw_Actuals!$B:$B,D141)</f>
        <v>284600</v>
      </c>
      <c r="I141" s="11">
        <f t="shared" si="8"/>
        <v>-34400</v>
      </c>
      <c r="J141" s="12">
        <f t="shared" si="9"/>
        <v>-0.10783699059561129</v>
      </c>
      <c r="K141" s="13" t="str">
        <f t="shared" si="10"/>
        <v>🟡 Under Budget</v>
      </c>
      <c r="L141" s="28" t="str">
        <f t="shared" si="11"/>
        <v>Underspend: check if deferred</v>
      </c>
    </row>
    <row r="142" spans="1:12" ht="15" customHeight="1" x14ac:dyDescent="0.45">
      <c r="A142" s="27" t="s">
        <v>1110</v>
      </c>
      <c r="B142" s="14" t="s">
        <v>35</v>
      </c>
      <c r="C142" s="14" t="s">
        <v>105</v>
      </c>
      <c r="D142" s="14">
        <v>6</v>
      </c>
      <c r="E142" s="14" t="s">
        <v>78</v>
      </c>
      <c r="F142" s="14" t="s">
        <v>23</v>
      </c>
      <c r="G142" s="7">
        <v>44000</v>
      </c>
      <c r="H142" s="15">
        <f>SUMIFS(Raw_Actuals!$H:$H,Raw_Actuals!$E:$E,B142,Raw_Actuals!$F:$F,C142,Raw_Actuals!$B:$B,D142)</f>
        <v>40500</v>
      </c>
      <c r="I142" s="16">
        <f t="shared" si="8"/>
        <v>-3500</v>
      </c>
      <c r="J142" s="17">
        <f t="shared" si="9"/>
        <v>-7.9545454545454544E-2</v>
      </c>
      <c r="K142" s="18" t="str">
        <f t="shared" si="10"/>
        <v>🟢 On Track</v>
      </c>
      <c r="L142" s="29" t="str">
        <f t="shared" si="11"/>
        <v/>
      </c>
    </row>
    <row r="143" spans="1:12" ht="15" customHeight="1" x14ac:dyDescent="0.45">
      <c r="A143" s="26" t="s">
        <v>1111</v>
      </c>
      <c r="B143" s="9" t="s">
        <v>35</v>
      </c>
      <c r="C143" s="9" t="s">
        <v>36</v>
      </c>
      <c r="D143" s="9">
        <v>6</v>
      </c>
      <c r="E143" s="9" t="s">
        <v>78</v>
      </c>
      <c r="F143" s="9" t="s">
        <v>23</v>
      </c>
      <c r="G143" s="4">
        <v>33000</v>
      </c>
      <c r="H143" s="10">
        <f>SUMIFS(Raw_Actuals!$H:$H,Raw_Actuals!$E:$E,B143,Raw_Actuals!$F:$F,C143,Raw_Actuals!$B:$B,D143)</f>
        <v>32900</v>
      </c>
      <c r="I143" s="11">
        <f t="shared" si="8"/>
        <v>-100</v>
      </c>
      <c r="J143" s="12">
        <f t="shared" si="9"/>
        <v>-3.0303030303030303E-3</v>
      </c>
      <c r="K143" s="13" t="str">
        <f t="shared" si="10"/>
        <v>🟢 On Track</v>
      </c>
      <c r="L143" s="28" t="str">
        <f t="shared" si="11"/>
        <v/>
      </c>
    </row>
    <row r="144" spans="1:12" ht="15" customHeight="1" x14ac:dyDescent="0.45">
      <c r="A144" s="27" t="s">
        <v>1112</v>
      </c>
      <c r="B144" s="14" t="s">
        <v>35</v>
      </c>
      <c r="C144" s="14" t="s">
        <v>75</v>
      </c>
      <c r="D144" s="14">
        <v>6</v>
      </c>
      <c r="E144" s="14" t="s">
        <v>78</v>
      </c>
      <c r="F144" s="14" t="s">
        <v>23</v>
      </c>
      <c r="G144" s="7">
        <v>16000</v>
      </c>
      <c r="H144" s="15">
        <f>SUMIFS(Raw_Actuals!$H:$H,Raw_Actuals!$E:$E,B144,Raw_Actuals!$F:$F,C144,Raw_Actuals!$B:$B,D144)</f>
        <v>16500</v>
      </c>
      <c r="I144" s="16">
        <f t="shared" si="8"/>
        <v>500</v>
      </c>
      <c r="J144" s="17">
        <f t="shared" si="9"/>
        <v>3.125E-2</v>
      </c>
      <c r="K144" s="18" t="str">
        <f t="shared" si="10"/>
        <v>🟢 On Track</v>
      </c>
      <c r="L144" s="29" t="str">
        <f t="shared" si="11"/>
        <v/>
      </c>
    </row>
    <row r="145" spans="1:12" ht="15" customHeight="1" x14ac:dyDescent="0.45">
      <c r="A145" s="26" t="s">
        <v>1113</v>
      </c>
      <c r="B145" s="9" t="s">
        <v>71</v>
      </c>
      <c r="C145" s="9" t="s">
        <v>14</v>
      </c>
      <c r="D145" s="9">
        <v>6</v>
      </c>
      <c r="E145" s="9" t="s">
        <v>78</v>
      </c>
      <c r="F145" s="9" t="s">
        <v>23</v>
      </c>
      <c r="G145" s="4">
        <v>451000</v>
      </c>
      <c r="H145" s="10">
        <f>SUMIFS(Raw_Actuals!$H:$H,Raw_Actuals!$E:$E,B145,Raw_Actuals!$F:$F,C145,Raw_Actuals!$B:$B,D145)</f>
        <v>411000</v>
      </c>
      <c r="I145" s="11">
        <f t="shared" si="8"/>
        <v>-40000</v>
      </c>
      <c r="J145" s="12">
        <f t="shared" si="9"/>
        <v>-8.8691796008869186E-2</v>
      </c>
      <c r="K145" s="13" t="str">
        <f t="shared" si="10"/>
        <v>🟢 On Track</v>
      </c>
      <c r="L145" s="28" t="str">
        <f t="shared" si="11"/>
        <v/>
      </c>
    </row>
    <row r="146" spans="1:12" ht="15" customHeight="1" x14ac:dyDescent="0.45">
      <c r="A146" s="27" t="s">
        <v>1114</v>
      </c>
      <c r="B146" s="14" t="s">
        <v>71</v>
      </c>
      <c r="C146" s="14" t="s">
        <v>88</v>
      </c>
      <c r="D146" s="14">
        <v>6</v>
      </c>
      <c r="E146" s="14" t="s">
        <v>78</v>
      </c>
      <c r="F146" s="14" t="s">
        <v>23</v>
      </c>
      <c r="G146" s="7">
        <v>220000</v>
      </c>
      <c r="H146" s="15">
        <f>SUMIFS(Raw_Actuals!$H:$H,Raw_Actuals!$E:$E,B146,Raw_Actuals!$F:$F,C146,Raw_Actuals!$B:$B,D146)</f>
        <v>190500</v>
      </c>
      <c r="I146" s="16">
        <f t="shared" si="8"/>
        <v>-29500</v>
      </c>
      <c r="J146" s="17">
        <f t="shared" si="9"/>
        <v>-0.13409090909090909</v>
      </c>
      <c r="K146" s="18" t="str">
        <f t="shared" si="10"/>
        <v>🟡 Under Budget</v>
      </c>
      <c r="L146" s="29" t="str">
        <f t="shared" si="11"/>
        <v>Underspend: check if deferred</v>
      </c>
    </row>
    <row r="147" spans="1:12" ht="15" customHeight="1" x14ac:dyDescent="0.45">
      <c r="A147" s="26" t="s">
        <v>1115</v>
      </c>
      <c r="B147" s="9" t="s">
        <v>71</v>
      </c>
      <c r="C147" s="9" t="s">
        <v>63</v>
      </c>
      <c r="D147" s="9">
        <v>6</v>
      </c>
      <c r="E147" s="9" t="s">
        <v>78</v>
      </c>
      <c r="F147" s="9" t="s">
        <v>23</v>
      </c>
      <c r="G147" s="4">
        <v>61000</v>
      </c>
      <c r="H147" s="10">
        <f>SUMIFS(Raw_Actuals!$H:$H,Raw_Actuals!$E:$E,B147,Raw_Actuals!$F:$F,C147,Raw_Actuals!$B:$B,D147)</f>
        <v>61100</v>
      </c>
      <c r="I147" s="11">
        <f t="shared" si="8"/>
        <v>100</v>
      </c>
      <c r="J147" s="12">
        <f t="shared" si="9"/>
        <v>1.639344262295082E-3</v>
      </c>
      <c r="K147" s="13" t="str">
        <f t="shared" si="10"/>
        <v>🟢 On Track</v>
      </c>
      <c r="L147" s="28" t="str">
        <f t="shared" si="11"/>
        <v/>
      </c>
    </row>
    <row r="148" spans="1:12" ht="15" customHeight="1" x14ac:dyDescent="0.45">
      <c r="A148" s="27" t="s">
        <v>1116</v>
      </c>
      <c r="B148" s="14" t="s">
        <v>71</v>
      </c>
      <c r="C148" s="14" t="s">
        <v>94</v>
      </c>
      <c r="D148" s="14">
        <v>6</v>
      </c>
      <c r="E148" s="14" t="s">
        <v>78</v>
      </c>
      <c r="F148" s="14" t="s">
        <v>23</v>
      </c>
      <c r="G148" s="7">
        <v>33000</v>
      </c>
      <c r="H148" s="15">
        <f>SUMIFS(Raw_Actuals!$H:$H,Raw_Actuals!$E:$E,B148,Raw_Actuals!$F:$F,C148,Raw_Actuals!$B:$B,D148)</f>
        <v>29600</v>
      </c>
      <c r="I148" s="16">
        <f t="shared" si="8"/>
        <v>-3400</v>
      </c>
      <c r="J148" s="17">
        <f t="shared" si="9"/>
        <v>-0.10303030303030303</v>
      </c>
      <c r="K148" s="18" t="str">
        <f t="shared" si="10"/>
        <v>🟡 Under Budget</v>
      </c>
      <c r="L148" s="29" t="str">
        <f t="shared" si="11"/>
        <v>Underspend: check if deferred</v>
      </c>
    </row>
    <row r="149" spans="1:12" ht="15" customHeight="1" x14ac:dyDescent="0.45">
      <c r="A149" s="26" t="s">
        <v>1117</v>
      </c>
      <c r="B149" s="9" t="s">
        <v>57</v>
      </c>
      <c r="C149" s="9" t="s">
        <v>14</v>
      </c>
      <c r="D149" s="9">
        <v>7</v>
      </c>
      <c r="E149" s="9" t="s">
        <v>56</v>
      </c>
      <c r="F149" s="9" t="s">
        <v>41</v>
      </c>
      <c r="G149" s="4">
        <v>420000</v>
      </c>
      <c r="H149" s="10">
        <f>SUMIFS(Raw_Actuals!$H:$H,Raw_Actuals!$E:$E,B149,Raw_Actuals!$F:$F,C149,Raw_Actuals!$B:$B,D149)</f>
        <v>386500</v>
      </c>
      <c r="I149" s="11">
        <f t="shared" si="8"/>
        <v>-33500</v>
      </c>
      <c r="J149" s="12">
        <f t="shared" si="9"/>
        <v>-7.9761904761904756E-2</v>
      </c>
      <c r="K149" s="13" t="str">
        <f t="shared" si="10"/>
        <v>🟢 On Track</v>
      </c>
      <c r="L149" s="28" t="str">
        <f t="shared" si="11"/>
        <v/>
      </c>
    </row>
    <row r="150" spans="1:12" ht="15" customHeight="1" x14ac:dyDescent="0.45">
      <c r="A150" s="27" t="s">
        <v>1118</v>
      </c>
      <c r="B150" s="14" t="s">
        <v>57</v>
      </c>
      <c r="C150" s="14" t="s">
        <v>75</v>
      </c>
      <c r="D150" s="14">
        <v>7</v>
      </c>
      <c r="E150" s="14" t="s">
        <v>56</v>
      </c>
      <c r="F150" s="14" t="s">
        <v>41</v>
      </c>
      <c r="G150" s="7">
        <v>35000</v>
      </c>
      <c r="H150" s="15">
        <f>SUMIFS(Raw_Actuals!$H:$H,Raw_Actuals!$E:$E,B150,Raw_Actuals!$F:$F,C150,Raw_Actuals!$B:$B,D150)</f>
        <v>40200</v>
      </c>
      <c r="I150" s="16">
        <f t="shared" si="8"/>
        <v>5200</v>
      </c>
      <c r="J150" s="17">
        <f t="shared" si="9"/>
        <v>0.14857142857142858</v>
      </c>
      <c r="K150" s="18" t="str">
        <f t="shared" si="10"/>
        <v>🟢 On Track</v>
      </c>
      <c r="L150" s="29" t="str">
        <f t="shared" si="11"/>
        <v/>
      </c>
    </row>
    <row r="151" spans="1:12" ht="15" customHeight="1" x14ac:dyDescent="0.45">
      <c r="A151" s="26" t="s">
        <v>1119</v>
      </c>
      <c r="B151" s="9" t="s">
        <v>57</v>
      </c>
      <c r="C151" s="9" t="s">
        <v>85</v>
      </c>
      <c r="D151" s="9">
        <v>7</v>
      </c>
      <c r="E151" s="9" t="s">
        <v>56</v>
      </c>
      <c r="F151" s="9" t="s">
        <v>41</v>
      </c>
      <c r="G151" s="4">
        <v>55000</v>
      </c>
      <c r="H151" s="10">
        <f>SUMIFS(Raw_Actuals!$H:$H,Raw_Actuals!$E:$E,B151,Raw_Actuals!$F:$F,C151,Raw_Actuals!$B:$B,D151)</f>
        <v>61200</v>
      </c>
      <c r="I151" s="11">
        <f t="shared" si="8"/>
        <v>6200</v>
      </c>
      <c r="J151" s="12">
        <f t="shared" si="9"/>
        <v>0.11272727272727273</v>
      </c>
      <c r="K151" s="13" t="str">
        <f t="shared" si="10"/>
        <v>🟢 On Track</v>
      </c>
      <c r="L151" s="28" t="str">
        <f t="shared" si="11"/>
        <v/>
      </c>
    </row>
    <row r="152" spans="1:12" ht="15" customHeight="1" x14ac:dyDescent="0.45">
      <c r="A152" s="27" t="s">
        <v>1120</v>
      </c>
      <c r="B152" s="14" t="s">
        <v>57</v>
      </c>
      <c r="C152" s="14" t="s">
        <v>63</v>
      </c>
      <c r="D152" s="14">
        <v>7</v>
      </c>
      <c r="E152" s="14" t="s">
        <v>56</v>
      </c>
      <c r="F152" s="14" t="s">
        <v>41</v>
      </c>
      <c r="G152" s="7">
        <v>18000</v>
      </c>
      <c r="H152" s="15">
        <f>SUMIFS(Raw_Actuals!$H:$H,Raw_Actuals!$E:$E,B152,Raw_Actuals!$F:$F,C152,Raw_Actuals!$B:$B,D152)</f>
        <v>17500</v>
      </c>
      <c r="I152" s="16">
        <f t="shared" si="8"/>
        <v>-500</v>
      </c>
      <c r="J152" s="17">
        <f t="shared" si="9"/>
        <v>-2.7777777777777776E-2</v>
      </c>
      <c r="K152" s="18" t="str">
        <f t="shared" si="10"/>
        <v>🟢 On Track</v>
      </c>
      <c r="L152" s="29" t="str">
        <f t="shared" si="11"/>
        <v/>
      </c>
    </row>
    <row r="153" spans="1:12" ht="15" customHeight="1" x14ac:dyDescent="0.45">
      <c r="A153" s="26" t="s">
        <v>1121</v>
      </c>
      <c r="B153" s="9" t="s">
        <v>13</v>
      </c>
      <c r="C153" s="9" t="s">
        <v>14</v>
      </c>
      <c r="D153" s="9">
        <v>7</v>
      </c>
      <c r="E153" s="9" t="s">
        <v>56</v>
      </c>
      <c r="F153" s="9" t="s">
        <v>41</v>
      </c>
      <c r="G153" s="4">
        <v>380000</v>
      </c>
      <c r="H153" s="10">
        <f>SUMIFS(Raw_Actuals!$H:$H,Raw_Actuals!$E:$E,B153,Raw_Actuals!$F:$F,C153,Raw_Actuals!$B:$B,D153)</f>
        <v>368300</v>
      </c>
      <c r="I153" s="11">
        <f t="shared" si="8"/>
        <v>-11700</v>
      </c>
      <c r="J153" s="12">
        <f t="shared" si="9"/>
        <v>-3.0789473684210526E-2</v>
      </c>
      <c r="K153" s="13" t="str">
        <f t="shared" si="10"/>
        <v>🟢 On Track</v>
      </c>
      <c r="L153" s="28" t="str">
        <f t="shared" si="11"/>
        <v/>
      </c>
    </row>
    <row r="154" spans="1:12" ht="15" customHeight="1" x14ac:dyDescent="0.45">
      <c r="A154" s="27" t="s">
        <v>1122</v>
      </c>
      <c r="B154" s="14" t="s">
        <v>13</v>
      </c>
      <c r="C154" s="14" t="s">
        <v>102</v>
      </c>
      <c r="D154" s="14">
        <v>7</v>
      </c>
      <c r="E154" s="14" t="s">
        <v>56</v>
      </c>
      <c r="F154" s="14" t="s">
        <v>41</v>
      </c>
      <c r="G154" s="7">
        <v>150000</v>
      </c>
      <c r="H154" s="15">
        <f>SUMIFS(Raw_Actuals!$H:$H,Raw_Actuals!$E:$E,B154,Raw_Actuals!$F:$F,C154,Raw_Actuals!$B:$B,D154)</f>
        <v>144600</v>
      </c>
      <c r="I154" s="16">
        <f t="shared" si="8"/>
        <v>-5400</v>
      </c>
      <c r="J154" s="17">
        <f t="shared" si="9"/>
        <v>-3.5999999999999997E-2</v>
      </c>
      <c r="K154" s="18" t="str">
        <f t="shared" si="10"/>
        <v>🟢 On Track</v>
      </c>
      <c r="L154" s="29" t="str">
        <f t="shared" si="11"/>
        <v/>
      </c>
    </row>
    <row r="155" spans="1:12" ht="15" customHeight="1" x14ac:dyDescent="0.45">
      <c r="A155" s="26" t="s">
        <v>1123</v>
      </c>
      <c r="B155" s="9" t="s">
        <v>13</v>
      </c>
      <c r="C155" s="9" t="s">
        <v>50</v>
      </c>
      <c r="D155" s="9">
        <v>7</v>
      </c>
      <c r="E155" s="9" t="s">
        <v>56</v>
      </c>
      <c r="F155" s="9" t="s">
        <v>41</v>
      </c>
      <c r="G155" s="4">
        <v>70000</v>
      </c>
      <c r="H155" s="10">
        <f>SUMIFS(Raw_Actuals!$H:$H,Raw_Actuals!$E:$E,B155,Raw_Actuals!$F:$F,C155,Raw_Actuals!$B:$B,D155)</f>
        <v>72400</v>
      </c>
      <c r="I155" s="11">
        <f t="shared" si="8"/>
        <v>2400</v>
      </c>
      <c r="J155" s="12">
        <f t="shared" si="9"/>
        <v>3.4285714285714287E-2</v>
      </c>
      <c r="K155" s="13" t="str">
        <f t="shared" si="10"/>
        <v>🟢 On Track</v>
      </c>
      <c r="L155" s="28" t="str">
        <f t="shared" si="11"/>
        <v/>
      </c>
    </row>
    <row r="156" spans="1:12" ht="15" customHeight="1" x14ac:dyDescent="0.45">
      <c r="A156" s="27" t="s">
        <v>1124</v>
      </c>
      <c r="B156" s="14" t="s">
        <v>13</v>
      </c>
      <c r="C156" s="14" t="s">
        <v>63</v>
      </c>
      <c r="D156" s="14">
        <v>7</v>
      </c>
      <c r="E156" s="14" t="s">
        <v>56</v>
      </c>
      <c r="F156" s="14" t="s">
        <v>41</v>
      </c>
      <c r="G156" s="7">
        <v>25000</v>
      </c>
      <c r="H156" s="15">
        <f>SUMIFS(Raw_Actuals!$H:$H,Raw_Actuals!$E:$E,B156,Raw_Actuals!$F:$F,C156,Raw_Actuals!$B:$B,D156)</f>
        <v>26900</v>
      </c>
      <c r="I156" s="16">
        <f t="shared" si="8"/>
        <v>1900</v>
      </c>
      <c r="J156" s="17">
        <f t="shared" si="9"/>
        <v>7.5999999999999998E-2</v>
      </c>
      <c r="K156" s="18" t="str">
        <f t="shared" si="10"/>
        <v>🟢 On Track</v>
      </c>
      <c r="L156" s="29" t="str">
        <f t="shared" si="11"/>
        <v/>
      </c>
    </row>
    <row r="157" spans="1:12" ht="15" customHeight="1" x14ac:dyDescent="0.45">
      <c r="A157" s="26" t="s">
        <v>1125</v>
      </c>
      <c r="B157" s="9" t="s">
        <v>24</v>
      </c>
      <c r="C157" s="9" t="s">
        <v>14</v>
      </c>
      <c r="D157" s="9">
        <v>7</v>
      </c>
      <c r="E157" s="9" t="s">
        <v>56</v>
      </c>
      <c r="F157" s="9" t="s">
        <v>41</v>
      </c>
      <c r="G157" s="4">
        <v>500000</v>
      </c>
      <c r="H157" s="10">
        <f>SUMIFS(Raw_Actuals!$H:$H,Raw_Actuals!$E:$E,B157,Raw_Actuals!$F:$F,C157,Raw_Actuals!$B:$B,D157)</f>
        <v>450000</v>
      </c>
      <c r="I157" s="11">
        <f t="shared" si="8"/>
        <v>-50000</v>
      </c>
      <c r="J157" s="12">
        <f t="shared" si="9"/>
        <v>-0.1</v>
      </c>
      <c r="K157" s="13" t="str">
        <f t="shared" si="10"/>
        <v>🟢 On Track</v>
      </c>
      <c r="L157" s="28" t="str">
        <f t="shared" si="11"/>
        <v/>
      </c>
    </row>
    <row r="158" spans="1:12" ht="15" customHeight="1" x14ac:dyDescent="0.45">
      <c r="A158" s="27" t="s">
        <v>1126</v>
      </c>
      <c r="B158" s="14" t="s">
        <v>24</v>
      </c>
      <c r="C158" s="14" t="s">
        <v>36</v>
      </c>
      <c r="D158" s="14">
        <v>7</v>
      </c>
      <c r="E158" s="14" t="s">
        <v>56</v>
      </c>
      <c r="F158" s="14" t="s">
        <v>41</v>
      </c>
      <c r="G158" s="7">
        <v>90000</v>
      </c>
      <c r="H158" s="15">
        <f>SUMIFS(Raw_Actuals!$H:$H,Raw_Actuals!$E:$E,B158,Raw_Actuals!$F:$F,C158,Raw_Actuals!$B:$B,D158)</f>
        <v>86700</v>
      </c>
      <c r="I158" s="16">
        <f t="shared" si="8"/>
        <v>-3300</v>
      </c>
      <c r="J158" s="17">
        <f t="shared" si="9"/>
        <v>-3.6666666666666667E-2</v>
      </c>
      <c r="K158" s="18" t="str">
        <f t="shared" si="10"/>
        <v>🟢 On Track</v>
      </c>
      <c r="L158" s="29" t="str">
        <f t="shared" si="11"/>
        <v/>
      </c>
    </row>
    <row r="159" spans="1:12" ht="15" customHeight="1" x14ac:dyDescent="0.45">
      <c r="A159" s="26" t="s">
        <v>1127</v>
      </c>
      <c r="B159" s="9" t="s">
        <v>24</v>
      </c>
      <c r="C159" s="9" t="s">
        <v>25</v>
      </c>
      <c r="D159" s="9">
        <v>7</v>
      </c>
      <c r="E159" s="9" t="s">
        <v>56</v>
      </c>
      <c r="F159" s="9" t="s">
        <v>41</v>
      </c>
      <c r="G159" s="4">
        <v>80000</v>
      </c>
      <c r="H159" s="10">
        <f>SUMIFS(Raw_Actuals!$H:$H,Raw_Actuals!$E:$E,B159,Raw_Actuals!$F:$F,C159,Raw_Actuals!$B:$B,D159)</f>
        <v>84300</v>
      </c>
      <c r="I159" s="11">
        <f t="shared" si="8"/>
        <v>4300</v>
      </c>
      <c r="J159" s="12">
        <f t="shared" si="9"/>
        <v>5.3749999999999999E-2</v>
      </c>
      <c r="K159" s="13" t="str">
        <f t="shared" si="10"/>
        <v>🟢 On Track</v>
      </c>
      <c r="L159" s="28" t="str">
        <f t="shared" si="11"/>
        <v/>
      </c>
    </row>
    <row r="160" spans="1:12" ht="15" customHeight="1" x14ac:dyDescent="0.45">
      <c r="A160" s="27" t="s">
        <v>1128</v>
      </c>
      <c r="B160" s="14" t="s">
        <v>24</v>
      </c>
      <c r="C160" s="14" t="s">
        <v>44</v>
      </c>
      <c r="D160" s="14">
        <v>7</v>
      </c>
      <c r="E160" s="14" t="s">
        <v>56</v>
      </c>
      <c r="F160" s="14" t="s">
        <v>41</v>
      </c>
      <c r="G160" s="7">
        <v>110000</v>
      </c>
      <c r="H160" s="15">
        <f>SUMIFS(Raw_Actuals!$H:$H,Raw_Actuals!$E:$E,B160,Raw_Actuals!$F:$F,C160,Raw_Actuals!$B:$B,D160)</f>
        <v>122200</v>
      </c>
      <c r="I160" s="16">
        <f t="shared" si="8"/>
        <v>12200</v>
      </c>
      <c r="J160" s="17">
        <f t="shared" si="9"/>
        <v>0.11090909090909092</v>
      </c>
      <c r="K160" s="18" t="str">
        <f t="shared" si="10"/>
        <v>🟢 On Track</v>
      </c>
      <c r="L160" s="29" t="str">
        <f t="shared" si="11"/>
        <v/>
      </c>
    </row>
    <row r="161" spans="1:12" ht="15" customHeight="1" x14ac:dyDescent="0.45">
      <c r="A161" s="26" t="s">
        <v>1129</v>
      </c>
      <c r="B161" s="9" t="s">
        <v>19</v>
      </c>
      <c r="C161" s="9" t="s">
        <v>14</v>
      </c>
      <c r="D161" s="9">
        <v>7</v>
      </c>
      <c r="E161" s="9" t="s">
        <v>56</v>
      </c>
      <c r="F161" s="9" t="s">
        <v>41</v>
      </c>
      <c r="G161" s="4">
        <v>350000</v>
      </c>
      <c r="H161" s="10">
        <f>SUMIFS(Raw_Actuals!$H:$H,Raw_Actuals!$E:$E,B161,Raw_Actuals!$F:$F,C161,Raw_Actuals!$B:$B,D161)</f>
        <v>345800</v>
      </c>
      <c r="I161" s="11">
        <f t="shared" si="8"/>
        <v>-4200</v>
      </c>
      <c r="J161" s="12">
        <f t="shared" si="9"/>
        <v>-1.2E-2</v>
      </c>
      <c r="K161" s="13" t="str">
        <f t="shared" si="10"/>
        <v>🟢 On Track</v>
      </c>
      <c r="L161" s="28" t="str">
        <f t="shared" si="11"/>
        <v/>
      </c>
    </row>
    <row r="162" spans="1:12" ht="15" customHeight="1" x14ac:dyDescent="0.45">
      <c r="A162" s="27" t="s">
        <v>1130</v>
      </c>
      <c r="B162" s="14" t="s">
        <v>19</v>
      </c>
      <c r="C162" s="14" t="s">
        <v>53</v>
      </c>
      <c r="D162" s="14">
        <v>7</v>
      </c>
      <c r="E162" s="14" t="s">
        <v>56</v>
      </c>
      <c r="F162" s="14" t="s">
        <v>41</v>
      </c>
      <c r="G162" s="7">
        <v>60000</v>
      </c>
      <c r="H162" s="15">
        <f>SUMIFS(Raw_Actuals!$H:$H,Raw_Actuals!$E:$E,B162,Raw_Actuals!$F:$F,C162,Raw_Actuals!$B:$B,D162)</f>
        <v>58900</v>
      </c>
      <c r="I162" s="16">
        <f t="shared" si="8"/>
        <v>-1100</v>
      </c>
      <c r="J162" s="17">
        <f t="shared" si="9"/>
        <v>-1.8333333333333333E-2</v>
      </c>
      <c r="K162" s="18" t="str">
        <f t="shared" si="10"/>
        <v>🟢 On Track</v>
      </c>
      <c r="L162" s="29" t="str">
        <f t="shared" si="11"/>
        <v/>
      </c>
    </row>
    <row r="163" spans="1:12" ht="15" customHeight="1" x14ac:dyDescent="0.45">
      <c r="A163" s="26" t="s">
        <v>1131</v>
      </c>
      <c r="B163" s="9" t="s">
        <v>19</v>
      </c>
      <c r="C163" s="9" t="s">
        <v>31</v>
      </c>
      <c r="D163" s="9">
        <v>7</v>
      </c>
      <c r="E163" s="9" t="s">
        <v>56</v>
      </c>
      <c r="F163" s="9" t="s">
        <v>41</v>
      </c>
      <c r="G163" s="4">
        <v>45000</v>
      </c>
      <c r="H163" s="10">
        <f>SUMIFS(Raw_Actuals!$H:$H,Raw_Actuals!$E:$E,B163,Raw_Actuals!$F:$F,C163,Raw_Actuals!$B:$B,D163)</f>
        <v>44300</v>
      </c>
      <c r="I163" s="11">
        <f t="shared" si="8"/>
        <v>-700</v>
      </c>
      <c r="J163" s="12">
        <f t="shared" si="9"/>
        <v>-1.5555555555555555E-2</v>
      </c>
      <c r="K163" s="13" t="str">
        <f t="shared" si="10"/>
        <v>🟢 On Track</v>
      </c>
      <c r="L163" s="28" t="str">
        <f t="shared" si="11"/>
        <v/>
      </c>
    </row>
    <row r="164" spans="1:12" ht="15" customHeight="1" x14ac:dyDescent="0.45">
      <c r="A164" s="27" t="s">
        <v>1132</v>
      </c>
      <c r="B164" s="14" t="s">
        <v>19</v>
      </c>
      <c r="C164" s="14" t="s">
        <v>63</v>
      </c>
      <c r="D164" s="14">
        <v>7</v>
      </c>
      <c r="E164" s="14" t="s">
        <v>56</v>
      </c>
      <c r="F164" s="14" t="s">
        <v>41</v>
      </c>
      <c r="G164" s="7">
        <v>20000</v>
      </c>
      <c r="H164" s="15">
        <f>SUMIFS(Raw_Actuals!$H:$H,Raw_Actuals!$E:$E,B164,Raw_Actuals!$F:$F,C164,Raw_Actuals!$B:$B,D164)</f>
        <v>19300</v>
      </c>
      <c r="I164" s="16">
        <f t="shared" si="8"/>
        <v>-700</v>
      </c>
      <c r="J164" s="17">
        <f t="shared" si="9"/>
        <v>-3.5000000000000003E-2</v>
      </c>
      <c r="K164" s="18" t="str">
        <f t="shared" si="10"/>
        <v>🟢 On Track</v>
      </c>
      <c r="L164" s="29" t="str">
        <f t="shared" si="11"/>
        <v/>
      </c>
    </row>
    <row r="165" spans="1:12" ht="15" customHeight="1" x14ac:dyDescent="0.45">
      <c r="A165" s="26" t="s">
        <v>1133</v>
      </c>
      <c r="B165" s="9" t="s">
        <v>35</v>
      </c>
      <c r="C165" s="9" t="s">
        <v>14</v>
      </c>
      <c r="D165" s="9">
        <v>7</v>
      </c>
      <c r="E165" s="9" t="s">
        <v>56</v>
      </c>
      <c r="F165" s="9" t="s">
        <v>41</v>
      </c>
      <c r="G165" s="4">
        <v>290000</v>
      </c>
      <c r="H165" s="10">
        <f>SUMIFS(Raw_Actuals!$H:$H,Raw_Actuals!$E:$E,B165,Raw_Actuals!$F:$F,C165,Raw_Actuals!$B:$B,D165)</f>
        <v>280900</v>
      </c>
      <c r="I165" s="11">
        <f t="shared" si="8"/>
        <v>-9100</v>
      </c>
      <c r="J165" s="12">
        <f t="shared" si="9"/>
        <v>-3.1379310344827584E-2</v>
      </c>
      <c r="K165" s="13" t="str">
        <f t="shared" si="10"/>
        <v>🟢 On Track</v>
      </c>
      <c r="L165" s="28" t="str">
        <f t="shared" si="11"/>
        <v/>
      </c>
    </row>
    <row r="166" spans="1:12" ht="15" customHeight="1" x14ac:dyDescent="0.45">
      <c r="A166" s="27" t="s">
        <v>1134</v>
      </c>
      <c r="B166" s="14" t="s">
        <v>35</v>
      </c>
      <c r="C166" s="14" t="s">
        <v>105</v>
      </c>
      <c r="D166" s="14">
        <v>7</v>
      </c>
      <c r="E166" s="14" t="s">
        <v>56</v>
      </c>
      <c r="F166" s="14" t="s">
        <v>41</v>
      </c>
      <c r="G166" s="7">
        <v>40000</v>
      </c>
      <c r="H166" s="15">
        <f>SUMIFS(Raw_Actuals!$H:$H,Raw_Actuals!$E:$E,B166,Raw_Actuals!$F:$F,C166,Raw_Actuals!$B:$B,D166)</f>
        <v>45600</v>
      </c>
      <c r="I166" s="16">
        <f t="shared" si="8"/>
        <v>5600</v>
      </c>
      <c r="J166" s="17">
        <f t="shared" si="9"/>
        <v>0.14000000000000001</v>
      </c>
      <c r="K166" s="18" t="str">
        <f t="shared" si="10"/>
        <v>🟢 On Track</v>
      </c>
      <c r="L166" s="29" t="str">
        <f t="shared" si="11"/>
        <v/>
      </c>
    </row>
    <row r="167" spans="1:12" ht="15" customHeight="1" x14ac:dyDescent="0.45">
      <c r="A167" s="26" t="s">
        <v>1135</v>
      </c>
      <c r="B167" s="9" t="s">
        <v>35</v>
      </c>
      <c r="C167" s="9" t="s">
        <v>36</v>
      </c>
      <c r="D167" s="9">
        <v>7</v>
      </c>
      <c r="E167" s="9" t="s">
        <v>56</v>
      </c>
      <c r="F167" s="9" t="s">
        <v>41</v>
      </c>
      <c r="G167" s="4">
        <v>30000</v>
      </c>
      <c r="H167" s="10">
        <f>SUMIFS(Raw_Actuals!$H:$H,Raw_Actuals!$E:$E,B167,Raw_Actuals!$F:$F,C167,Raw_Actuals!$B:$B,D167)</f>
        <v>31300</v>
      </c>
      <c r="I167" s="11">
        <f t="shared" si="8"/>
        <v>1300</v>
      </c>
      <c r="J167" s="12">
        <f t="shared" si="9"/>
        <v>4.3333333333333335E-2</v>
      </c>
      <c r="K167" s="13" t="str">
        <f t="shared" si="10"/>
        <v>🟢 On Track</v>
      </c>
      <c r="L167" s="28" t="str">
        <f t="shared" si="11"/>
        <v/>
      </c>
    </row>
    <row r="168" spans="1:12" ht="15" customHeight="1" x14ac:dyDescent="0.45">
      <c r="A168" s="27" t="s">
        <v>1136</v>
      </c>
      <c r="B168" s="14" t="s">
        <v>35</v>
      </c>
      <c r="C168" s="14" t="s">
        <v>75</v>
      </c>
      <c r="D168" s="14">
        <v>7</v>
      </c>
      <c r="E168" s="14" t="s">
        <v>56</v>
      </c>
      <c r="F168" s="14" t="s">
        <v>41</v>
      </c>
      <c r="G168" s="7">
        <v>15000</v>
      </c>
      <c r="H168" s="15">
        <f>SUMIFS(Raw_Actuals!$H:$H,Raw_Actuals!$E:$E,B168,Raw_Actuals!$F:$F,C168,Raw_Actuals!$B:$B,D168)</f>
        <v>16900</v>
      </c>
      <c r="I168" s="16">
        <f t="shared" si="8"/>
        <v>1900</v>
      </c>
      <c r="J168" s="17">
        <f t="shared" si="9"/>
        <v>0.12666666666666668</v>
      </c>
      <c r="K168" s="18" t="str">
        <f t="shared" si="10"/>
        <v>🟢 On Track</v>
      </c>
      <c r="L168" s="29" t="str">
        <f t="shared" si="11"/>
        <v/>
      </c>
    </row>
    <row r="169" spans="1:12" ht="15" customHeight="1" x14ac:dyDescent="0.45">
      <c r="A169" s="26" t="s">
        <v>1137</v>
      </c>
      <c r="B169" s="9" t="s">
        <v>71</v>
      </c>
      <c r="C169" s="9" t="s">
        <v>14</v>
      </c>
      <c r="D169" s="9">
        <v>7</v>
      </c>
      <c r="E169" s="9" t="s">
        <v>56</v>
      </c>
      <c r="F169" s="9" t="s">
        <v>41</v>
      </c>
      <c r="G169" s="4">
        <v>410000</v>
      </c>
      <c r="H169" s="10">
        <f>SUMIFS(Raw_Actuals!$H:$H,Raw_Actuals!$E:$E,B169,Raw_Actuals!$F:$F,C169,Raw_Actuals!$B:$B,D169)</f>
        <v>460500</v>
      </c>
      <c r="I169" s="11">
        <f t="shared" si="8"/>
        <v>50500</v>
      </c>
      <c r="J169" s="12">
        <f t="shared" si="9"/>
        <v>0.12317073170731707</v>
      </c>
      <c r="K169" s="13" t="str">
        <f t="shared" si="10"/>
        <v>🟢 On Track</v>
      </c>
      <c r="L169" s="28" t="str">
        <f t="shared" si="11"/>
        <v/>
      </c>
    </row>
    <row r="170" spans="1:12" ht="15" customHeight="1" x14ac:dyDescent="0.45">
      <c r="A170" s="27" t="s">
        <v>1138</v>
      </c>
      <c r="B170" s="14" t="s">
        <v>71</v>
      </c>
      <c r="C170" s="14" t="s">
        <v>88</v>
      </c>
      <c r="D170" s="14">
        <v>7</v>
      </c>
      <c r="E170" s="14" t="s">
        <v>56</v>
      </c>
      <c r="F170" s="14" t="s">
        <v>41</v>
      </c>
      <c r="G170" s="7">
        <v>200000</v>
      </c>
      <c r="H170" s="15">
        <f>SUMIFS(Raw_Actuals!$H:$H,Raw_Actuals!$E:$E,B170,Raw_Actuals!$F:$F,C170,Raw_Actuals!$B:$B,D170)</f>
        <v>201900</v>
      </c>
      <c r="I170" s="16">
        <f t="shared" si="8"/>
        <v>1900</v>
      </c>
      <c r="J170" s="17">
        <f t="shared" si="9"/>
        <v>9.4999999999999998E-3</v>
      </c>
      <c r="K170" s="18" t="str">
        <f t="shared" si="10"/>
        <v>🟢 On Track</v>
      </c>
      <c r="L170" s="29" t="str">
        <f t="shared" si="11"/>
        <v/>
      </c>
    </row>
    <row r="171" spans="1:12" ht="15" customHeight="1" x14ac:dyDescent="0.45">
      <c r="A171" s="26" t="s">
        <v>1139</v>
      </c>
      <c r="B171" s="9" t="s">
        <v>71</v>
      </c>
      <c r="C171" s="9" t="s">
        <v>63</v>
      </c>
      <c r="D171" s="9">
        <v>7</v>
      </c>
      <c r="E171" s="9" t="s">
        <v>56</v>
      </c>
      <c r="F171" s="9" t="s">
        <v>41</v>
      </c>
      <c r="G171" s="4">
        <v>55000</v>
      </c>
      <c r="H171" s="10">
        <f>SUMIFS(Raw_Actuals!$H:$H,Raw_Actuals!$E:$E,B171,Raw_Actuals!$F:$F,C171,Raw_Actuals!$B:$B,D171)</f>
        <v>83600</v>
      </c>
      <c r="I171" s="11">
        <f t="shared" si="8"/>
        <v>28600</v>
      </c>
      <c r="J171" s="12">
        <f t="shared" si="9"/>
        <v>0.52</v>
      </c>
      <c r="K171" s="13" t="str">
        <f t="shared" si="10"/>
        <v>🔴 Over Budget</v>
      </c>
      <c r="L171" s="28" t="str">
        <f t="shared" si="11"/>
        <v>Overspend: review with dept head</v>
      </c>
    </row>
    <row r="172" spans="1:12" ht="15" customHeight="1" x14ac:dyDescent="0.45">
      <c r="A172" s="27" t="s">
        <v>1140</v>
      </c>
      <c r="B172" s="14" t="s">
        <v>71</v>
      </c>
      <c r="C172" s="14" t="s">
        <v>94</v>
      </c>
      <c r="D172" s="14">
        <v>7</v>
      </c>
      <c r="E172" s="14" t="s">
        <v>56</v>
      </c>
      <c r="F172" s="14" t="s">
        <v>41</v>
      </c>
      <c r="G172" s="7">
        <v>30000</v>
      </c>
      <c r="H172" s="15">
        <f>SUMIFS(Raw_Actuals!$H:$H,Raw_Actuals!$E:$E,B172,Raw_Actuals!$F:$F,C172,Raw_Actuals!$B:$B,D172)</f>
        <v>32300</v>
      </c>
      <c r="I172" s="16">
        <f t="shared" si="8"/>
        <v>2300</v>
      </c>
      <c r="J172" s="17">
        <f t="shared" si="9"/>
        <v>7.6666666666666661E-2</v>
      </c>
      <c r="K172" s="18" t="str">
        <f t="shared" si="10"/>
        <v>🟢 On Track</v>
      </c>
      <c r="L172" s="29" t="str">
        <f t="shared" si="11"/>
        <v/>
      </c>
    </row>
    <row r="173" spans="1:12" ht="15" customHeight="1" x14ac:dyDescent="0.45">
      <c r="A173" s="26" t="s">
        <v>1141</v>
      </c>
      <c r="B173" s="9" t="s">
        <v>57</v>
      </c>
      <c r="C173" s="9" t="s">
        <v>14</v>
      </c>
      <c r="D173" s="9">
        <v>8</v>
      </c>
      <c r="E173" s="9" t="s">
        <v>60</v>
      </c>
      <c r="F173" s="9" t="s">
        <v>41</v>
      </c>
      <c r="G173" s="4">
        <v>420000</v>
      </c>
      <c r="H173" s="10">
        <f>SUMIFS(Raw_Actuals!$H:$H,Raw_Actuals!$E:$E,B173,Raw_Actuals!$F:$F,C173,Raw_Actuals!$B:$B,D173)</f>
        <v>480600</v>
      </c>
      <c r="I173" s="11">
        <f t="shared" si="8"/>
        <v>60600</v>
      </c>
      <c r="J173" s="12">
        <f t="shared" si="9"/>
        <v>0.14428571428571429</v>
      </c>
      <c r="K173" s="13" t="str">
        <f t="shared" si="10"/>
        <v>🟢 On Track</v>
      </c>
      <c r="L173" s="28" t="str">
        <f t="shared" si="11"/>
        <v/>
      </c>
    </row>
    <row r="174" spans="1:12" ht="15" customHeight="1" x14ac:dyDescent="0.45">
      <c r="A174" s="27" t="s">
        <v>1142</v>
      </c>
      <c r="B174" s="14" t="s">
        <v>57</v>
      </c>
      <c r="C174" s="14" t="s">
        <v>75</v>
      </c>
      <c r="D174" s="14">
        <v>8</v>
      </c>
      <c r="E174" s="14" t="s">
        <v>60</v>
      </c>
      <c r="F174" s="14" t="s">
        <v>41</v>
      </c>
      <c r="G174" s="7">
        <v>35000</v>
      </c>
      <c r="H174" s="15">
        <f>SUMIFS(Raw_Actuals!$H:$H,Raw_Actuals!$E:$E,B174,Raw_Actuals!$F:$F,C174,Raw_Actuals!$B:$B,D174)</f>
        <v>36900</v>
      </c>
      <c r="I174" s="16">
        <f t="shared" si="8"/>
        <v>1900</v>
      </c>
      <c r="J174" s="17">
        <f t="shared" si="9"/>
        <v>5.4285714285714284E-2</v>
      </c>
      <c r="K174" s="18" t="str">
        <f t="shared" si="10"/>
        <v>🟢 On Track</v>
      </c>
      <c r="L174" s="29" t="str">
        <f t="shared" si="11"/>
        <v/>
      </c>
    </row>
    <row r="175" spans="1:12" ht="15" customHeight="1" x14ac:dyDescent="0.45">
      <c r="A175" s="26" t="s">
        <v>1143</v>
      </c>
      <c r="B175" s="9" t="s">
        <v>57</v>
      </c>
      <c r="C175" s="9" t="s">
        <v>85</v>
      </c>
      <c r="D175" s="9">
        <v>8</v>
      </c>
      <c r="E175" s="9" t="s">
        <v>60</v>
      </c>
      <c r="F175" s="9" t="s">
        <v>41</v>
      </c>
      <c r="G175" s="4">
        <v>55000</v>
      </c>
      <c r="H175" s="10">
        <f>SUMIFS(Raw_Actuals!$H:$H,Raw_Actuals!$E:$E,B175,Raw_Actuals!$F:$F,C175,Raw_Actuals!$B:$B,D175)</f>
        <v>54500</v>
      </c>
      <c r="I175" s="11">
        <f t="shared" si="8"/>
        <v>-500</v>
      </c>
      <c r="J175" s="12">
        <f t="shared" si="9"/>
        <v>-9.0909090909090905E-3</v>
      </c>
      <c r="K175" s="13" t="str">
        <f t="shared" si="10"/>
        <v>🟢 On Track</v>
      </c>
      <c r="L175" s="28" t="str">
        <f t="shared" si="11"/>
        <v/>
      </c>
    </row>
    <row r="176" spans="1:12" ht="15" customHeight="1" x14ac:dyDescent="0.45">
      <c r="A176" s="27" t="s">
        <v>1144</v>
      </c>
      <c r="B176" s="14" t="s">
        <v>57</v>
      </c>
      <c r="C176" s="14" t="s">
        <v>63</v>
      </c>
      <c r="D176" s="14">
        <v>8</v>
      </c>
      <c r="E176" s="14" t="s">
        <v>60</v>
      </c>
      <c r="F176" s="14" t="s">
        <v>41</v>
      </c>
      <c r="G176" s="7">
        <v>18000</v>
      </c>
      <c r="H176" s="15">
        <f>SUMIFS(Raw_Actuals!$H:$H,Raw_Actuals!$E:$E,B176,Raw_Actuals!$F:$F,C176,Raw_Actuals!$B:$B,D176)</f>
        <v>19800</v>
      </c>
      <c r="I176" s="16">
        <f t="shared" si="8"/>
        <v>1800</v>
      </c>
      <c r="J176" s="17">
        <f t="shared" si="9"/>
        <v>0.1</v>
      </c>
      <c r="K176" s="18" t="str">
        <f t="shared" si="10"/>
        <v>🟢 On Track</v>
      </c>
      <c r="L176" s="29" t="str">
        <f t="shared" si="11"/>
        <v/>
      </c>
    </row>
    <row r="177" spans="1:12" ht="15" customHeight="1" x14ac:dyDescent="0.45">
      <c r="A177" s="26" t="s">
        <v>1145</v>
      </c>
      <c r="B177" s="9" t="s">
        <v>13</v>
      </c>
      <c r="C177" s="9" t="s">
        <v>14</v>
      </c>
      <c r="D177" s="9">
        <v>8</v>
      </c>
      <c r="E177" s="9" t="s">
        <v>60</v>
      </c>
      <c r="F177" s="9" t="s">
        <v>41</v>
      </c>
      <c r="G177" s="4">
        <v>380000</v>
      </c>
      <c r="H177" s="10">
        <f>SUMIFS(Raw_Actuals!$H:$H,Raw_Actuals!$E:$E,B177,Raw_Actuals!$F:$F,C177,Raw_Actuals!$B:$B,D177)</f>
        <v>334000</v>
      </c>
      <c r="I177" s="11">
        <f t="shared" si="8"/>
        <v>-46000</v>
      </c>
      <c r="J177" s="12">
        <f t="shared" si="9"/>
        <v>-0.12105263157894737</v>
      </c>
      <c r="K177" s="13" t="str">
        <f t="shared" si="10"/>
        <v>🟡 Under Budget</v>
      </c>
      <c r="L177" s="28" t="str">
        <f t="shared" si="11"/>
        <v>Underspend: check if deferred</v>
      </c>
    </row>
    <row r="178" spans="1:12" ht="15" customHeight="1" x14ac:dyDescent="0.45">
      <c r="A178" s="27" t="s">
        <v>1146</v>
      </c>
      <c r="B178" s="14" t="s">
        <v>13</v>
      </c>
      <c r="C178" s="14" t="s">
        <v>102</v>
      </c>
      <c r="D178" s="14">
        <v>8</v>
      </c>
      <c r="E178" s="14" t="s">
        <v>60</v>
      </c>
      <c r="F178" s="14" t="s">
        <v>41</v>
      </c>
      <c r="G178" s="7">
        <v>150000</v>
      </c>
      <c r="H178" s="15">
        <f>SUMIFS(Raw_Actuals!$H:$H,Raw_Actuals!$E:$E,B178,Raw_Actuals!$F:$F,C178,Raw_Actuals!$B:$B,D178)</f>
        <v>153900</v>
      </c>
      <c r="I178" s="16">
        <f t="shared" si="8"/>
        <v>3900</v>
      </c>
      <c r="J178" s="17">
        <f t="shared" si="9"/>
        <v>2.5999999999999999E-2</v>
      </c>
      <c r="K178" s="18" t="str">
        <f t="shared" si="10"/>
        <v>🟢 On Track</v>
      </c>
      <c r="L178" s="29" t="str">
        <f t="shared" si="11"/>
        <v/>
      </c>
    </row>
    <row r="179" spans="1:12" ht="15" customHeight="1" x14ac:dyDescent="0.45">
      <c r="A179" s="26" t="s">
        <v>1147</v>
      </c>
      <c r="B179" s="9" t="s">
        <v>13</v>
      </c>
      <c r="C179" s="9" t="s">
        <v>50</v>
      </c>
      <c r="D179" s="9">
        <v>8</v>
      </c>
      <c r="E179" s="9" t="s">
        <v>60</v>
      </c>
      <c r="F179" s="9" t="s">
        <v>41</v>
      </c>
      <c r="G179" s="4">
        <v>70000</v>
      </c>
      <c r="H179" s="10">
        <f>SUMIFS(Raw_Actuals!$H:$H,Raw_Actuals!$E:$E,B179,Raw_Actuals!$F:$F,C179,Raw_Actuals!$B:$B,D179)</f>
        <v>60200</v>
      </c>
      <c r="I179" s="11">
        <f t="shared" si="8"/>
        <v>-9800</v>
      </c>
      <c r="J179" s="12">
        <f t="shared" si="9"/>
        <v>-0.14000000000000001</v>
      </c>
      <c r="K179" s="13" t="str">
        <f t="shared" si="10"/>
        <v>🟡 Under Budget</v>
      </c>
      <c r="L179" s="28" t="str">
        <f t="shared" si="11"/>
        <v>Underspend: check if deferred</v>
      </c>
    </row>
    <row r="180" spans="1:12" ht="15" customHeight="1" x14ac:dyDescent="0.45">
      <c r="A180" s="27" t="s">
        <v>1148</v>
      </c>
      <c r="B180" s="14" t="s">
        <v>13</v>
      </c>
      <c r="C180" s="14" t="s">
        <v>63</v>
      </c>
      <c r="D180" s="14">
        <v>8</v>
      </c>
      <c r="E180" s="14" t="s">
        <v>60</v>
      </c>
      <c r="F180" s="14" t="s">
        <v>41</v>
      </c>
      <c r="G180" s="7">
        <v>25000</v>
      </c>
      <c r="H180" s="15">
        <f>SUMIFS(Raw_Actuals!$H:$H,Raw_Actuals!$E:$E,B180,Raw_Actuals!$F:$F,C180,Raw_Actuals!$B:$B,D180)</f>
        <v>28600</v>
      </c>
      <c r="I180" s="16">
        <f t="shared" si="8"/>
        <v>3600</v>
      </c>
      <c r="J180" s="17">
        <f t="shared" si="9"/>
        <v>0.14399999999999999</v>
      </c>
      <c r="K180" s="18" t="str">
        <f t="shared" si="10"/>
        <v>🟢 On Track</v>
      </c>
      <c r="L180" s="29" t="str">
        <f t="shared" si="11"/>
        <v/>
      </c>
    </row>
    <row r="181" spans="1:12" ht="15" customHeight="1" x14ac:dyDescent="0.45">
      <c r="A181" s="26" t="s">
        <v>1149</v>
      </c>
      <c r="B181" s="9" t="s">
        <v>24</v>
      </c>
      <c r="C181" s="9" t="s">
        <v>14</v>
      </c>
      <c r="D181" s="9">
        <v>8</v>
      </c>
      <c r="E181" s="9" t="s">
        <v>60</v>
      </c>
      <c r="F181" s="9" t="s">
        <v>41</v>
      </c>
      <c r="G181" s="4">
        <v>500000</v>
      </c>
      <c r="H181" s="10">
        <f>SUMIFS(Raw_Actuals!$H:$H,Raw_Actuals!$E:$E,B181,Raw_Actuals!$F:$F,C181,Raw_Actuals!$B:$B,D181)</f>
        <v>466400</v>
      </c>
      <c r="I181" s="11">
        <f t="shared" si="8"/>
        <v>-33600</v>
      </c>
      <c r="J181" s="12">
        <f t="shared" si="9"/>
        <v>-6.7199999999999996E-2</v>
      </c>
      <c r="K181" s="13" t="str">
        <f t="shared" si="10"/>
        <v>🟢 On Track</v>
      </c>
      <c r="L181" s="28" t="str">
        <f t="shared" si="11"/>
        <v/>
      </c>
    </row>
    <row r="182" spans="1:12" ht="15" customHeight="1" x14ac:dyDescent="0.45">
      <c r="A182" s="27" t="s">
        <v>1150</v>
      </c>
      <c r="B182" s="14" t="s">
        <v>24</v>
      </c>
      <c r="C182" s="14" t="s">
        <v>36</v>
      </c>
      <c r="D182" s="14">
        <v>8</v>
      </c>
      <c r="E182" s="14" t="s">
        <v>60</v>
      </c>
      <c r="F182" s="14" t="s">
        <v>41</v>
      </c>
      <c r="G182" s="7">
        <v>90000</v>
      </c>
      <c r="H182" s="15">
        <f>SUMIFS(Raw_Actuals!$H:$H,Raw_Actuals!$E:$E,B182,Raw_Actuals!$F:$F,C182,Raw_Actuals!$B:$B,D182)</f>
        <v>94400</v>
      </c>
      <c r="I182" s="16">
        <f t="shared" si="8"/>
        <v>4400</v>
      </c>
      <c r="J182" s="17">
        <f t="shared" si="9"/>
        <v>4.8888888888888891E-2</v>
      </c>
      <c r="K182" s="18" t="str">
        <f t="shared" si="10"/>
        <v>🟢 On Track</v>
      </c>
      <c r="L182" s="29" t="str">
        <f t="shared" si="11"/>
        <v/>
      </c>
    </row>
    <row r="183" spans="1:12" ht="15" customHeight="1" x14ac:dyDescent="0.45">
      <c r="A183" s="26" t="s">
        <v>1151</v>
      </c>
      <c r="B183" s="9" t="s">
        <v>24</v>
      </c>
      <c r="C183" s="9" t="s">
        <v>25</v>
      </c>
      <c r="D183" s="9">
        <v>8</v>
      </c>
      <c r="E183" s="9" t="s">
        <v>60</v>
      </c>
      <c r="F183" s="9" t="s">
        <v>41</v>
      </c>
      <c r="G183" s="4">
        <v>80000</v>
      </c>
      <c r="H183" s="10">
        <f>SUMIFS(Raw_Actuals!$H:$H,Raw_Actuals!$E:$E,B183,Raw_Actuals!$F:$F,C183,Raw_Actuals!$B:$B,D183)</f>
        <v>72900</v>
      </c>
      <c r="I183" s="11">
        <f t="shared" si="8"/>
        <v>-7100</v>
      </c>
      <c r="J183" s="12">
        <f t="shared" si="9"/>
        <v>-8.8749999999999996E-2</v>
      </c>
      <c r="K183" s="13" t="str">
        <f t="shared" si="10"/>
        <v>🟢 On Track</v>
      </c>
      <c r="L183" s="28" t="str">
        <f t="shared" si="11"/>
        <v/>
      </c>
    </row>
    <row r="184" spans="1:12" ht="15" customHeight="1" x14ac:dyDescent="0.45">
      <c r="A184" s="27" t="s">
        <v>1152</v>
      </c>
      <c r="B184" s="14" t="s">
        <v>24</v>
      </c>
      <c r="C184" s="14" t="s">
        <v>44</v>
      </c>
      <c r="D184" s="14">
        <v>8</v>
      </c>
      <c r="E184" s="14" t="s">
        <v>60</v>
      </c>
      <c r="F184" s="14" t="s">
        <v>41</v>
      </c>
      <c r="G184" s="7">
        <v>110000</v>
      </c>
      <c r="H184" s="15">
        <f>SUMIFS(Raw_Actuals!$H:$H,Raw_Actuals!$E:$E,B184,Raw_Actuals!$F:$F,C184,Raw_Actuals!$B:$B,D184)</f>
        <v>102700</v>
      </c>
      <c r="I184" s="16">
        <f t="shared" si="8"/>
        <v>-7300</v>
      </c>
      <c r="J184" s="17">
        <f t="shared" si="9"/>
        <v>-6.6363636363636361E-2</v>
      </c>
      <c r="K184" s="18" t="str">
        <f t="shared" si="10"/>
        <v>🟢 On Track</v>
      </c>
      <c r="L184" s="29" t="str">
        <f t="shared" si="11"/>
        <v/>
      </c>
    </row>
    <row r="185" spans="1:12" ht="15" customHeight="1" x14ac:dyDescent="0.45">
      <c r="A185" s="26" t="s">
        <v>1153</v>
      </c>
      <c r="B185" s="9" t="s">
        <v>19</v>
      </c>
      <c r="C185" s="9" t="s">
        <v>14</v>
      </c>
      <c r="D185" s="9">
        <v>8</v>
      </c>
      <c r="E185" s="9" t="s">
        <v>60</v>
      </c>
      <c r="F185" s="9" t="s">
        <v>41</v>
      </c>
      <c r="G185" s="4">
        <v>350000</v>
      </c>
      <c r="H185" s="10">
        <f>SUMIFS(Raw_Actuals!$H:$H,Raw_Actuals!$E:$E,B185,Raw_Actuals!$F:$F,C185,Raw_Actuals!$B:$B,D185)</f>
        <v>381400</v>
      </c>
      <c r="I185" s="11">
        <f t="shared" si="8"/>
        <v>31400</v>
      </c>
      <c r="J185" s="12">
        <f t="shared" si="9"/>
        <v>8.9714285714285719E-2</v>
      </c>
      <c r="K185" s="13" t="str">
        <f t="shared" si="10"/>
        <v>🟢 On Track</v>
      </c>
      <c r="L185" s="28" t="str">
        <f t="shared" si="11"/>
        <v/>
      </c>
    </row>
    <row r="186" spans="1:12" ht="15" customHeight="1" x14ac:dyDescent="0.45">
      <c r="A186" s="27" t="s">
        <v>1154</v>
      </c>
      <c r="B186" s="14" t="s">
        <v>19</v>
      </c>
      <c r="C186" s="14" t="s">
        <v>53</v>
      </c>
      <c r="D186" s="14">
        <v>8</v>
      </c>
      <c r="E186" s="14" t="s">
        <v>60</v>
      </c>
      <c r="F186" s="14" t="s">
        <v>41</v>
      </c>
      <c r="G186" s="7">
        <v>60000</v>
      </c>
      <c r="H186" s="15">
        <f>SUMIFS(Raw_Actuals!$H:$H,Raw_Actuals!$E:$E,B186,Raw_Actuals!$F:$F,C186,Raw_Actuals!$B:$B,D186)</f>
        <v>51300</v>
      </c>
      <c r="I186" s="16">
        <f t="shared" si="8"/>
        <v>-8700</v>
      </c>
      <c r="J186" s="17">
        <f t="shared" si="9"/>
        <v>-0.14499999999999999</v>
      </c>
      <c r="K186" s="18" t="str">
        <f t="shared" si="10"/>
        <v>🟡 Under Budget</v>
      </c>
      <c r="L186" s="29" t="str">
        <f t="shared" si="11"/>
        <v>Underspend: check if deferred</v>
      </c>
    </row>
    <row r="187" spans="1:12" ht="15" customHeight="1" x14ac:dyDescent="0.45">
      <c r="A187" s="26" t="s">
        <v>1155</v>
      </c>
      <c r="B187" s="9" t="s">
        <v>19</v>
      </c>
      <c r="C187" s="9" t="s">
        <v>31</v>
      </c>
      <c r="D187" s="9">
        <v>8</v>
      </c>
      <c r="E187" s="9" t="s">
        <v>60</v>
      </c>
      <c r="F187" s="9" t="s">
        <v>41</v>
      </c>
      <c r="G187" s="4">
        <v>45000</v>
      </c>
      <c r="H187" s="10">
        <f>SUMIFS(Raw_Actuals!$H:$H,Raw_Actuals!$E:$E,B187,Raw_Actuals!$F:$F,C187,Raw_Actuals!$B:$B,D187)</f>
        <v>41800</v>
      </c>
      <c r="I187" s="11">
        <f t="shared" si="8"/>
        <v>-3200</v>
      </c>
      <c r="J187" s="12">
        <f t="shared" si="9"/>
        <v>-7.1111111111111111E-2</v>
      </c>
      <c r="K187" s="13" t="str">
        <f t="shared" si="10"/>
        <v>🟢 On Track</v>
      </c>
      <c r="L187" s="28" t="str">
        <f t="shared" si="11"/>
        <v/>
      </c>
    </row>
    <row r="188" spans="1:12" ht="15" customHeight="1" x14ac:dyDescent="0.45">
      <c r="A188" s="27" t="s">
        <v>1156</v>
      </c>
      <c r="B188" s="14" t="s">
        <v>19</v>
      </c>
      <c r="C188" s="14" t="s">
        <v>63</v>
      </c>
      <c r="D188" s="14">
        <v>8</v>
      </c>
      <c r="E188" s="14" t="s">
        <v>60</v>
      </c>
      <c r="F188" s="14" t="s">
        <v>41</v>
      </c>
      <c r="G188" s="7">
        <v>20000</v>
      </c>
      <c r="H188" s="15">
        <f>SUMIFS(Raw_Actuals!$H:$H,Raw_Actuals!$E:$E,B188,Raw_Actuals!$F:$F,C188,Raw_Actuals!$B:$B,D188)</f>
        <v>21500</v>
      </c>
      <c r="I188" s="16">
        <f t="shared" si="8"/>
        <v>1500</v>
      </c>
      <c r="J188" s="17">
        <f t="shared" si="9"/>
        <v>7.4999999999999997E-2</v>
      </c>
      <c r="K188" s="18" t="str">
        <f t="shared" si="10"/>
        <v>🟢 On Track</v>
      </c>
      <c r="L188" s="29" t="str">
        <f t="shared" si="11"/>
        <v/>
      </c>
    </row>
    <row r="189" spans="1:12" ht="15" customHeight="1" x14ac:dyDescent="0.45">
      <c r="A189" s="26" t="s">
        <v>1157</v>
      </c>
      <c r="B189" s="9" t="s">
        <v>35</v>
      </c>
      <c r="C189" s="9" t="s">
        <v>14</v>
      </c>
      <c r="D189" s="9">
        <v>8</v>
      </c>
      <c r="E189" s="9" t="s">
        <v>60</v>
      </c>
      <c r="F189" s="9" t="s">
        <v>41</v>
      </c>
      <c r="G189" s="4">
        <v>290000</v>
      </c>
      <c r="H189" s="10">
        <f>SUMIFS(Raw_Actuals!$H:$H,Raw_Actuals!$E:$E,B189,Raw_Actuals!$F:$F,C189,Raw_Actuals!$B:$B,D189)</f>
        <v>290300</v>
      </c>
      <c r="I189" s="11">
        <f t="shared" si="8"/>
        <v>300</v>
      </c>
      <c r="J189" s="12">
        <f t="shared" si="9"/>
        <v>1.0344827586206897E-3</v>
      </c>
      <c r="K189" s="13" t="str">
        <f t="shared" si="10"/>
        <v>🟢 On Track</v>
      </c>
      <c r="L189" s="28" t="str">
        <f t="shared" si="11"/>
        <v/>
      </c>
    </row>
    <row r="190" spans="1:12" ht="15" customHeight="1" x14ac:dyDescent="0.45">
      <c r="A190" s="27" t="s">
        <v>1158</v>
      </c>
      <c r="B190" s="14" t="s">
        <v>35</v>
      </c>
      <c r="C190" s="14" t="s">
        <v>105</v>
      </c>
      <c r="D190" s="14">
        <v>8</v>
      </c>
      <c r="E190" s="14" t="s">
        <v>60</v>
      </c>
      <c r="F190" s="14" t="s">
        <v>41</v>
      </c>
      <c r="G190" s="7">
        <v>40000</v>
      </c>
      <c r="H190" s="15">
        <f>SUMIFS(Raw_Actuals!$H:$H,Raw_Actuals!$E:$E,B190,Raw_Actuals!$F:$F,C190,Raw_Actuals!$B:$B,D190)</f>
        <v>45600</v>
      </c>
      <c r="I190" s="16">
        <f t="shared" si="8"/>
        <v>5600</v>
      </c>
      <c r="J190" s="17">
        <f t="shared" si="9"/>
        <v>0.14000000000000001</v>
      </c>
      <c r="K190" s="18" t="str">
        <f t="shared" si="10"/>
        <v>🟢 On Track</v>
      </c>
      <c r="L190" s="29" t="str">
        <f t="shared" si="11"/>
        <v/>
      </c>
    </row>
    <row r="191" spans="1:12" ht="15" customHeight="1" x14ac:dyDescent="0.45">
      <c r="A191" s="26" t="s">
        <v>1159</v>
      </c>
      <c r="B191" s="9" t="s">
        <v>35</v>
      </c>
      <c r="C191" s="9" t="s">
        <v>36</v>
      </c>
      <c r="D191" s="9">
        <v>8</v>
      </c>
      <c r="E191" s="9" t="s">
        <v>60</v>
      </c>
      <c r="F191" s="9" t="s">
        <v>41</v>
      </c>
      <c r="G191" s="4">
        <v>30000</v>
      </c>
      <c r="H191" s="10">
        <f>SUMIFS(Raw_Actuals!$H:$H,Raw_Actuals!$E:$E,B191,Raw_Actuals!$F:$F,C191,Raw_Actuals!$B:$B,D191)</f>
        <v>31600</v>
      </c>
      <c r="I191" s="11">
        <f t="shared" si="8"/>
        <v>1600</v>
      </c>
      <c r="J191" s="12">
        <f t="shared" si="9"/>
        <v>5.3333333333333337E-2</v>
      </c>
      <c r="K191" s="13" t="str">
        <f t="shared" si="10"/>
        <v>🟢 On Track</v>
      </c>
      <c r="L191" s="28" t="str">
        <f t="shared" si="11"/>
        <v/>
      </c>
    </row>
    <row r="192" spans="1:12" ht="15" customHeight="1" x14ac:dyDescent="0.45">
      <c r="A192" s="27" t="s">
        <v>1160</v>
      </c>
      <c r="B192" s="14" t="s">
        <v>35</v>
      </c>
      <c r="C192" s="14" t="s">
        <v>75</v>
      </c>
      <c r="D192" s="14">
        <v>8</v>
      </c>
      <c r="E192" s="14" t="s">
        <v>60</v>
      </c>
      <c r="F192" s="14" t="s">
        <v>41</v>
      </c>
      <c r="G192" s="7">
        <v>15000</v>
      </c>
      <c r="H192" s="15">
        <f>SUMIFS(Raw_Actuals!$H:$H,Raw_Actuals!$E:$E,B192,Raw_Actuals!$F:$F,C192,Raw_Actuals!$B:$B,D192)</f>
        <v>13400</v>
      </c>
      <c r="I192" s="16">
        <f t="shared" si="8"/>
        <v>-1600</v>
      </c>
      <c r="J192" s="17">
        <f t="shared" si="9"/>
        <v>-0.10666666666666667</v>
      </c>
      <c r="K192" s="18" t="str">
        <f t="shared" si="10"/>
        <v>🟡 Under Budget</v>
      </c>
      <c r="L192" s="29" t="str">
        <f t="shared" si="11"/>
        <v>Underspend: check if deferred</v>
      </c>
    </row>
    <row r="193" spans="1:12" ht="15" customHeight="1" x14ac:dyDescent="0.45">
      <c r="A193" s="26" t="s">
        <v>1161</v>
      </c>
      <c r="B193" s="9" t="s">
        <v>71</v>
      </c>
      <c r="C193" s="9" t="s">
        <v>14</v>
      </c>
      <c r="D193" s="9">
        <v>8</v>
      </c>
      <c r="E193" s="9" t="s">
        <v>60</v>
      </c>
      <c r="F193" s="9" t="s">
        <v>41</v>
      </c>
      <c r="G193" s="4">
        <v>410000</v>
      </c>
      <c r="H193" s="10">
        <f>SUMIFS(Raw_Actuals!$H:$H,Raw_Actuals!$E:$E,B193,Raw_Actuals!$F:$F,C193,Raw_Actuals!$B:$B,D193)</f>
        <v>415900</v>
      </c>
      <c r="I193" s="11">
        <f t="shared" si="8"/>
        <v>5900</v>
      </c>
      <c r="J193" s="12">
        <f t="shared" si="9"/>
        <v>1.4390243902439025E-2</v>
      </c>
      <c r="K193" s="13" t="str">
        <f t="shared" si="10"/>
        <v>🟢 On Track</v>
      </c>
      <c r="L193" s="28" t="str">
        <f t="shared" si="11"/>
        <v/>
      </c>
    </row>
    <row r="194" spans="1:12" ht="15" customHeight="1" x14ac:dyDescent="0.45">
      <c r="A194" s="27" t="s">
        <v>1162</v>
      </c>
      <c r="B194" s="14" t="s">
        <v>71</v>
      </c>
      <c r="C194" s="14" t="s">
        <v>88</v>
      </c>
      <c r="D194" s="14">
        <v>8</v>
      </c>
      <c r="E194" s="14" t="s">
        <v>60</v>
      </c>
      <c r="F194" s="14" t="s">
        <v>41</v>
      </c>
      <c r="G194" s="7">
        <v>200000</v>
      </c>
      <c r="H194" s="15">
        <f>SUMIFS(Raw_Actuals!$H:$H,Raw_Actuals!$E:$E,B194,Raw_Actuals!$F:$F,C194,Raw_Actuals!$B:$B,D194)</f>
        <v>206300</v>
      </c>
      <c r="I194" s="16">
        <f t="shared" si="8"/>
        <v>6300</v>
      </c>
      <c r="J194" s="17">
        <f t="shared" si="9"/>
        <v>3.15E-2</v>
      </c>
      <c r="K194" s="18" t="str">
        <f t="shared" si="10"/>
        <v>🟢 On Track</v>
      </c>
      <c r="L194" s="29" t="str">
        <f t="shared" si="11"/>
        <v/>
      </c>
    </row>
    <row r="195" spans="1:12" ht="15" customHeight="1" x14ac:dyDescent="0.45">
      <c r="A195" s="26" t="s">
        <v>1163</v>
      </c>
      <c r="B195" s="9" t="s">
        <v>71</v>
      </c>
      <c r="C195" s="9" t="s">
        <v>63</v>
      </c>
      <c r="D195" s="9">
        <v>8</v>
      </c>
      <c r="E195" s="9" t="s">
        <v>60</v>
      </c>
      <c r="F195" s="9" t="s">
        <v>41</v>
      </c>
      <c r="G195" s="4">
        <v>55000</v>
      </c>
      <c r="H195" s="10">
        <f>SUMIFS(Raw_Actuals!$H:$H,Raw_Actuals!$E:$E,B195,Raw_Actuals!$F:$F,C195,Raw_Actuals!$B:$B,D195)</f>
        <v>77500</v>
      </c>
      <c r="I195" s="11">
        <f t="shared" si="8"/>
        <v>22500</v>
      </c>
      <c r="J195" s="12">
        <f t="shared" si="9"/>
        <v>0.40909090909090912</v>
      </c>
      <c r="K195" s="13" t="str">
        <f t="shared" si="10"/>
        <v>🔴 Over Budget</v>
      </c>
      <c r="L195" s="28" t="str">
        <f t="shared" si="11"/>
        <v>Overspend: review with dept head</v>
      </c>
    </row>
    <row r="196" spans="1:12" ht="15" customHeight="1" x14ac:dyDescent="0.45">
      <c r="A196" s="27" t="s">
        <v>1164</v>
      </c>
      <c r="B196" s="14" t="s">
        <v>71</v>
      </c>
      <c r="C196" s="14" t="s">
        <v>94</v>
      </c>
      <c r="D196" s="14">
        <v>8</v>
      </c>
      <c r="E196" s="14" t="s">
        <v>60</v>
      </c>
      <c r="F196" s="14" t="s">
        <v>41</v>
      </c>
      <c r="G196" s="7">
        <v>30000</v>
      </c>
      <c r="H196" s="15">
        <f>SUMIFS(Raw_Actuals!$H:$H,Raw_Actuals!$E:$E,B196,Raw_Actuals!$F:$F,C196,Raw_Actuals!$B:$B,D196)</f>
        <v>29000</v>
      </c>
      <c r="I196" s="16">
        <f t="shared" si="8"/>
        <v>-1000</v>
      </c>
      <c r="J196" s="17">
        <f t="shared" si="9"/>
        <v>-3.3333333333333333E-2</v>
      </c>
      <c r="K196" s="18" t="str">
        <f t="shared" si="10"/>
        <v>🟢 On Track</v>
      </c>
      <c r="L196" s="29" t="str">
        <f t="shared" si="11"/>
        <v/>
      </c>
    </row>
    <row r="197" spans="1:12" ht="15" customHeight="1" x14ac:dyDescent="0.45">
      <c r="A197" s="26" t="s">
        <v>1165</v>
      </c>
      <c r="B197" s="9" t="s">
        <v>57</v>
      </c>
      <c r="C197" s="9" t="s">
        <v>14</v>
      </c>
      <c r="D197" s="9">
        <v>9</v>
      </c>
      <c r="E197" s="9" t="s">
        <v>40</v>
      </c>
      <c r="F197" s="9" t="s">
        <v>41</v>
      </c>
      <c r="G197" s="4">
        <v>462000</v>
      </c>
      <c r="H197" s="10">
        <f>SUMIFS(Raw_Actuals!$H:$H,Raw_Actuals!$E:$E,B197,Raw_Actuals!$F:$F,C197,Raw_Actuals!$B:$B,D197)</f>
        <v>365500</v>
      </c>
      <c r="I197" s="11">
        <f t="shared" ref="I197:I260" si="12">H197-G197</f>
        <v>-96500</v>
      </c>
      <c r="J197" s="12">
        <f t="shared" ref="J197:J260" si="13">IFERROR(I197/G197,0)</f>
        <v>-0.20887445887445888</v>
      </c>
      <c r="K197" s="13" t="str">
        <f t="shared" ref="K197:K260" si="14">IF(J197&gt;0.15,"🔴 Over Budget",IF(J197&lt;-0.1,"🟡 Under Budget","🟢 On Track"))</f>
        <v>🟡 Under Budget</v>
      </c>
      <c r="L197" s="28" t="str">
        <f t="shared" ref="L197:L260" si="15">IFERROR(IF(J197&gt;0.15,"Overspend: review with dept head",IF(J197&lt;-0.1,"Underspend: check if deferred","")),"")</f>
        <v>Underspend: check if deferred</v>
      </c>
    </row>
    <row r="198" spans="1:12" ht="15" customHeight="1" x14ac:dyDescent="0.45">
      <c r="A198" s="27" t="s">
        <v>1166</v>
      </c>
      <c r="B198" s="14" t="s">
        <v>57</v>
      </c>
      <c r="C198" s="14" t="s">
        <v>75</v>
      </c>
      <c r="D198" s="14">
        <v>9</v>
      </c>
      <c r="E198" s="14" t="s">
        <v>40</v>
      </c>
      <c r="F198" s="14" t="s">
        <v>41</v>
      </c>
      <c r="G198" s="7">
        <v>38000</v>
      </c>
      <c r="H198" s="15">
        <f>SUMIFS(Raw_Actuals!$H:$H,Raw_Actuals!$E:$E,B198,Raw_Actuals!$F:$F,C198,Raw_Actuals!$B:$B,D198)</f>
        <v>37500</v>
      </c>
      <c r="I198" s="16">
        <f t="shared" si="12"/>
        <v>-500</v>
      </c>
      <c r="J198" s="17">
        <f t="shared" si="13"/>
        <v>-1.3157894736842105E-2</v>
      </c>
      <c r="K198" s="18" t="str">
        <f t="shared" si="14"/>
        <v>🟢 On Track</v>
      </c>
      <c r="L198" s="29" t="str">
        <f t="shared" si="15"/>
        <v/>
      </c>
    </row>
    <row r="199" spans="1:12" ht="15" customHeight="1" x14ac:dyDescent="0.45">
      <c r="A199" s="26" t="s">
        <v>1167</v>
      </c>
      <c r="B199" s="9" t="s">
        <v>57</v>
      </c>
      <c r="C199" s="9" t="s">
        <v>85</v>
      </c>
      <c r="D199" s="9">
        <v>9</v>
      </c>
      <c r="E199" s="9" t="s">
        <v>40</v>
      </c>
      <c r="F199" s="9" t="s">
        <v>41</v>
      </c>
      <c r="G199" s="4">
        <v>61000</v>
      </c>
      <c r="H199" s="10">
        <f>SUMIFS(Raw_Actuals!$H:$H,Raw_Actuals!$E:$E,B199,Raw_Actuals!$F:$F,C199,Raw_Actuals!$B:$B,D199)</f>
        <v>56000</v>
      </c>
      <c r="I199" s="11">
        <f t="shared" si="12"/>
        <v>-5000</v>
      </c>
      <c r="J199" s="12">
        <f t="shared" si="13"/>
        <v>-8.1967213114754092E-2</v>
      </c>
      <c r="K199" s="13" t="str">
        <f t="shared" si="14"/>
        <v>🟢 On Track</v>
      </c>
      <c r="L199" s="28" t="str">
        <f t="shared" si="15"/>
        <v/>
      </c>
    </row>
    <row r="200" spans="1:12" ht="15" customHeight="1" x14ac:dyDescent="0.45">
      <c r="A200" s="27" t="s">
        <v>1168</v>
      </c>
      <c r="B200" s="14" t="s">
        <v>57</v>
      </c>
      <c r="C200" s="14" t="s">
        <v>63</v>
      </c>
      <c r="D200" s="14">
        <v>9</v>
      </c>
      <c r="E200" s="14" t="s">
        <v>40</v>
      </c>
      <c r="F200" s="14" t="s">
        <v>41</v>
      </c>
      <c r="G200" s="7">
        <v>20000</v>
      </c>
      <c r="H200" s="15">
        <f>SUMIFS(Raw_Actuals!$H:$H,Raw_Actuals!$E:$E,B200,Raw_Actuals!$F:$F,C200,Raw_Actuals!$B:$B,D200)</f>
        <v>18500</v>
      </c>
      <c r="I200" s="16">
        <f t="shared" si="12"/>
        <v>-1500</v>
      </c>
      <c r="J200" s="17">
        <f t="shared" si="13"/>
        <v>-7.4999999999999997E-2</v>
      </c>
      <c r="K200" s="18" t="str">
        <f t="shared" si="14"/>
        <v>🟢 On Track</v>
      </c>
      <c r="L200" s="29" t="str">
        <f t="shared" si="15"/>
        <v/>
      </c>
    </row>
    <row r="201" spans="1:12" ht="15" customHeight="1" x14ac:dyDescent="0.45">
      <c r="A201" s="26" t="s">
        <v>1169</v>
      </c>
      <c r="B201" s="9" t="s">
        <v>13</v>
      </c>
      <c r="C201" s="9" t="s">
        <v>14</v>
      </c>
      <c r="D201" s="9">
        <v>9</v>
      </c>
      <c r="E201" s="9" t="s">
        <v>40</v>
      </c>
      <c r="F201" s="9" t="s">
        <v>41</v>
      </c>
      <c r="G201" s="4">
        <v>418000</v>
      </c>
      <c r="H201" s="10">
        <f>SUMIFS(Raw_Actuals!$H:$H,Raw_Actuals!$E:$E,B201,Raw_Actuals!$F:$F,C201,Raw_Actuals!$B:$B,D201)</f>
        <v>348500</v>
      </c>
      <c r="I201" s="11">
        <f t="shared" si="12"/>
        <v>-69500</v>
      </c>
      <c r="J201" s="12">
        <f t="shared" si="13"/>
        <v>-0.16626794258373206</v>
      </c>
      <c r="K201" s="13" t="str">
        <f t="shared" si="14"/>
        <v>🟡 Under Budget</v>
      </c>
      <c r="L201" s="28" t="str">
        <f t="shared" si="15"/>
        <v>Underspend: check if deferred</v>
      </c>
    </row>
    <row r="202" spans="1:12" ht="15" customHeight="1" x14ac:dyDescent="0.45">
      <c r="A202" s="27" t="s">
        <v>1170</v>
      </c>
      <c r="B202" s="14" t="s">
        <v>13</v>
      </c>
      <c r="C202" s="14" t="s">
        <v>102</v>
      </c>
      <c r="D202" s="14">
        <v>9</v>
      </c>
      <c r="E202" s="14" t="s">
        <v>40</v>
      </c>
      <c r="F202" s="14" t="s">
        <v>41</v>
      </c>
      <c r="G202" s="7">
        <v>165000</v>
      </c>
      <c r="H202" s="15">
        <f>SUMIFS(Raw_Actuals!$H:$H,Raw_Actuals!$E:$E,B202,Raw_Actuals!$F:$F,C202,Raw_Actuals!$B:$B,D202)</f>
        <v>132700</v>
      </c>
      <c r="I202" s="16">
        <f t="shared" si="12"/>
        <v>-32300</v>
      </c>
      <c r="J202" s="17">
        <f t="shared" si="13"/>
        <v>-0.19575757575757577</v>
      </c>
      <c r="K202" s="18" t="str">
        <f t="shared" si="14"/>
        <v>🟡 Under Budget</v>
      </c>
      <c r="L202" s="29" t="str">
        <f t="shared" si="15"/>
        <v>Underspend: check if deferred</v>
      </c>
    </row>
    <row r="203" spans="1:12" ht="15" customHeight="1" x14ac:dyDescent="0.45">
      <c r="A203" s="26" t="s">
        <v>1171</v>
      </c>
      <c r="B203" s="9" t="s">
        <v>13</v>
      </c>
      <c r="C203" s="9" t="s">
        <v>50</v>
      </c>
      <c r="D203" s="9">
        <v>9</v>
      </c>
      <c r="E203" s="9" t="s">
        <v>40</v>
      </c>
      <c r="F203" s="9" t="s">
        <v>41</v>
      </c>
      <c r="G203" s="4">
        <v>77000</v>
      </c>
      <c r="H203" s="10">
        <f>SUMIFS(Raw_Actuals!$H:$H,Raw_Actuals!$E:$E,B203,Raw_Actuals!$F:$F,C203,Raw_Actuals!$B:$B,D203)</f>
        <v>73600</v>
      </c>
      <c r="I203" s="11">
        <f t="shared" si="12"/>
        <v>-3400</v>
      </c>
      <c r="J203" s="12">
        <f t="shared" si="13"/>
        <v>-4.4155844155844157E-2</v>
      </c>
      <c r="K203" s="13" t="str">
        <f t="shared" si="14"/>
        <v>🟢 On Track</v>
      </c>
      <c r="L203" s="28" t="str">
        <f t="shared" si="15"/>
        <v/>
      </c>
    </row>
    <row r="204" spans="1:12" ht="15" customHeight="1" x14ac:dyDescent="0.45">
      <c r="A204" s="27" t="s">
        <v>1172</v>
      </c>
      <c r="B204" s="14" t="s">
        <v>13</v>
      </c>
      <c r="C204" s="14" t="s">
        <v>63</v>
      </c>
      <c r="D204" s="14">
        <v>9</v>
      </c>
      <c r="E204" s="14" t="s">
        <v>40</v>
      </c>
      <c r="F204" s="14" t="s">
        <v>41</v>
      </c>
      <c r="G204" s="7">
        <v>28000</v>
      </c>
      <c r="H204" s="15">
        <f>SUMIFS(Raw_Actuals!$H:$H,Raw_Actuals!$E:$E,B204,Raw_Actuals!$F:$F,C204,Raw_Actuals!$B:$B,D204)</f>
        <v>26500</v>
      </c>
      <c r="I204" s="16">
        <f t="shared" si="12"/>
        <v>-1500</v>
      </c>
      <c r="J204" s="17">
        <f t="shared" si="13"/>
        <v>-5.3571428571428568E-2</v>
      </c>
      <c r="K204" s="18" t="str">
        <f t="shared" si="14"/>
        <v>🟢 On Track</v>
      </c>
      <c r="L204" s="29" t="str">
        <f t="shared" si="15"/>
        <v/>
      </c>
    </row>
    <row r="205" spans="1:12" ht="15" customHeight="1" x14ac:dyDescent="0.45">
      <c r="A205" s="26" t="s">
        <v>1173</v>
      </c>
      <c r="B205" s="9" t="s">
        <v>24</v>
      </c>
      <c r="C205" s="9" t="s">
        <v>14</v>
      </c>
      <c r="D205" s="9">
        <v>9</v>
      </c>
      <c r="E205" s="9" t="s">
        <v>40</v>
      </c>
      <c r="F205" s="9" t="s">
        <v>41</v>
      </c>
      <c r="G205" s="4">
        <v>550000</v>
      </c>
      <c r="H205" s="10">
        <f>SUMIFS(Raw_Actuals!$H:$H,Raw_Actuals!$E:$E,B205,Raw_Actuals!$F:$F,C205,Raw_Actuals!$B:$B,D205)</f>
        <v>523600</v>
      </c>
      <c r="I205" s="11">
        <f t="shared" si="12"/>
        <v>-26400</v>
      </c>
      <c r="J205" s="12">
        <f t="shared" si="13"/>
        <v>-4.8000000000000001E-2</v>
      </c>
      <c r="K205" s="13" t="str">
        <f t="shared" si="14"/>
        <v>🟢 On Track</v>
      </c>
      <c r="L205" s="28" t="str">
        <f t="shared" si="15"/>
        <v/>
      </c>
    </row>
    <row r="206" spans="1:12" ht="15" customHeight="1" x14ac:dyDescent="0.45">
      <c r="A206" s="27" t="s">
        <v>1174</v>
      </c>
      <c r="B206" s="14" t="s">
        <v>24</v>
      </c>
      <c r="C206" s="14" t="s">
        <v>36</v>
      </c>
      <c r="D206" s="14">
        <v>9</v>
      </c>
      <c r="E206" s="14" t="s">
        <v>40</v>
      </c>
      <c r="F206" s="14" t="s">
        <v>41</v>
      </c>
      <c r="G206" s="7">
        <v>99000</v>
      </c>
      <c r="H206" s="15">
        <f>SUMIFS(Raw_Actuals!$H:$H,Raw_Actuals!$E:$E,B206,Raw_Actuals!$F:$F,C206,Raw_Actuals!$B:$B,D206)</f>
        <v>78900</v>
      </c>
      <c r="I206" s="16">
        <f t="shared" si="12"/>
        <v>-20100</v>
      </c>
      <c r="J206" s="17">
        <f t="shared" si="13"/>
        <v>-0.20303030303030303</v>
      </c>
      <c r="K206" s="18" t="str">
        <f t="shared" si="14"/>
        <v>🟡 Under Budget</v>
      </c>
      <c r="L206" s="29" t="str">
        <f t="shared" si="15"/>
        <v>Underspend: check if deferred</v>
      </c>
    </row>
    <row r="207" spans="1:12" ht="15" customHeight="1" x14ac:dyDescent="0.45">
      <c r="A207" s="26" t="s">
        <v>1175</v>
      </c>
      <c r="B207" s="9" t="s">
        <v>24</v>
      </c>
      <c r="C207" s="9" t="s">
        <v>25</v>
      </c>
      <c r="D207" s="9">
        <v>9</v>
      </c>
      <c r="E207" s="9" t="s">
        <v>40</v>
      </c>
      <c r="F207" s="9" t="s">
        <v>41</v>
      </c>
      <c r="G207" s="4">
        <v>88000</v>
      </c>
      <c r="H207" s="10">
        <f>SUMIFS(Raw_Actuals!$H:$H,Raw_Actuals!$E:$E,B207,Raw_Actuals!$F:$F,C207,Raw_Actuals!$B:$B,D207)</f>
        <v>86700</v>
      </c>
      <c r="I207" s="11">
        <f t="shared" si="12"/>
        <v>-1300</v>
      </c>
      <c r="J207" s="12">
        <f t="shared" si="13"/>
        <v>-1.4772727272727272E-2</v>
      </c>
      <c r="K207" s="13" t="str">
        <f t="shared" si="14"/>
        <v>🟢 On Track</v>
      </c>
      <c r="L207" s="28" t="str">
        <f t="shared" si="15"/>
        <v/>
      </c>
    </row>
    <row r="208" spans="1:12" ht="15" customHeight="1" x14ac:dyDescent="0.45">
      <c r="A208" s="27" t="s">
        <v>1176</v>
      </c>
      <c r="B208" s="14" t="s">
        <v>24</v>
      </c>
      <c r="C208" s="14" t="s">
        <v>44</v>
      </c>
      <c r="D208" s="14">
        <v>9</v>
      </c>
      <c r="E208" s="14" t="s">
        <v>40</v>
      </c>
      <c r="F208" s="14" t="s">
        <v>41</v>
      </c>
      <c r="G208" s="7">
        <v>121000</v>
      </c>
      <c r="H208" s="15">
        <f>SUMIFS(Raw_Actuals!$H:$H,Raw_Actuals!$E:$E,B208,Raw_Actuals!$F:$F,C208,Raw_Actuals!$B:$B,D208)</f>
        <v>102500</v>
      </c>
      <c r="I208" s="16">
        <f t="shared" si="12"/>
        <v>-18500</v>
      </c>
      <c r="J208" s="17">
        <f t="shared" si="13"/>
        <v>-0.15289256198347106</v>
      </c>
      <c r="K208" s="18" t="str">
        <f t="shared" si="14"/>
        <v>🟡 Under Budget</v>
      </c>
      <c r="L208" s="29" t="str">
        <f t="shared" si="15"/>
        <v>Underspend: check if deferred</v>
      </c>
    </row>
    <row r="209" spans="1:12" ht="15" customHeight="1" x14ac:dyDescent="0.45">
      <c r="A209" s="26" t="s">
        <v>1177</v>
      </c>
      <c r="B209" s="9" t="s">
        <v>19</v>
      </c>
      <c r="C209" s="9" t="s">
        <v>14</v>
      </c>
      <c r="D209" s="9">
        <v>9</v>
      </c>
      <c r="E209" s="9" t="s">
        <v>40</v>
      </c>
      <c r="F209" s="9" t="s">
        <v>41</v>
      </c>
      <c r="G209" s="4">
        <v>385000</v>
      </c>
      <c r="H209" s="10">
        <f>SUMIFS(Raw_Actuals!$H:$H,Raw_Actuals!$E:$E,B209,Raw_Actuals!$F:$F,C209,Raw_Actuals!$B:$B,D209)</f>
        <v>342700</v>
      </c>
      <c r="I209" s="11">
        <f t="shared" si="12"/>
        <v>-42300</v>
      </c>
      <c r="J209" s="12">
        <f t="shared" si="13"/>
        <v>-0.10987012987012987</v>
      </c>
      <c r="K209" s="13" t="str">
        <f t="shared" si="14"/>
        <v>🟡 Under Budget</v>
      </c>
      <c r="L209" s="28" t="str">
        <f t="shared" si="15"/>
        <v>Underspend: check if deferred</v>
      </c>
    </row>
    <row r="210" spans="1:12" ht="15" customHeight="1" x14ac:dyDescent="0.45">
      <c r="A210" s="27" t="s">
        <v>1178</v>
      </c>
      <c r="B210" s="14" t="s">
        <v>19</v>
      </c>
      <c r="C210" s="14" t="s">
        <v>53</v>
      </c>
      <c r="D210" s="14">
        <v>9</v>
      </c>
      <c r="E210" s="14" t="s">
        <v>40</v>
      </c>
      <c r="F210" s="14" t="s">
        <v>41</v>
      </c>
      <c r="G210" s="7">
        <v>66000</v>
      </c>
      <c r="H210" s="15">
        <f>SUMIFS(Raw_Actuals!$H:$H,Raw_Actuals!$E:$E,B210,Raw_Actuals!$F:$F,C210,Raw_Actuals!$B:$B,D210)</f>
        <v>51800</v>
      </c>
      <c r="I210" s="16">
        <f t="shared" si="12"/>
        <v>-14200</v>
      </c>
      <c r="J210" s="17">
        <f t="shared" si="13"/>
        <v>-0.21515151515151515</v>
      </c>
      <c r="K210" s="18" t="str">
        <f t="shared" si="14"/>
        <v>🟡 Under Budget</v>
      </c>
      <c r="L210" s="29" t="str">
        <f t="shared" si="15"/>
        <v>Underspend: check if deferred</v>
      </c>
    </row>
    <row r="211" spans="1:12" ht="15" customHeight="1" x14ac:dyDescent="0.45">
      <c r="A211" s="26" t="s">
        <v>1179</v>
      </c>
      <c r="B211" s="9" t="s">
        <v>19</v>
      </c>
      <c r="C211" s="9" t="s">
        <v>31</v>
      </c>
      <c r="D211" s="9">
        <v>9</v>
      </c>
      <c r="E211" s="9" t="s">
        <v>40</v>
      </c>
      <c r="F211" s="9" t="s">
        <v>41</v>
      </c>
      <c r="G211" s="4">
        <v>50000</v>
      </c>
      <c r="H211" s="10">
        <f>SUMIFS(Raw_Actuals!$H:$H,Raw_Actuals!$E:$E,B211,Raw_Actuals!$F:$F,C211,Raw_Actuals!$B:$B,D211)</f>
        <v>48500</v>
      </c>
      <c r="I211" s="11">
        <f t="shared" si="12"/>
        <v>-1500</v>
      </c>
      <c r="J211" s="12">
        <f t="shared" si="13"/>
        <v>-0.03</v>
      </c>
      <c r="K211" s="13" t="str">
        <f t="shared" si="14"/>
        <v>🟢 On Track</v>
      </c>
      <c r="L211" s="28" t="str">
        <f t="shared" si="15"/>
        <v/>
      </c>
    </row>
    <row r="212" spans="1:12" ht="15" customHeight="1" x14ac:dyDescent="0.45">
      <c r="A212" s="27" t="s">
        <v>1180</v>
      </c>
      <c r="B212" s="14" t="s">
        <v>19</v>
      </c>
      <c r="C212" s="14" t="s">
        <v>63</v>
      </c>
      <c r="D212" s="14">
        <v>9</v>
      </c>
      <c r="E212" s="14" t="s">
        <v>40</v>
      </c>
      <c r="F212" s="14" t="s">
        <v>41</v>
      </c>
      <c r="G212" s="7">
        <v>22000</v>
      </c>
      <c r="H212" s="15">
        <f>SUMIFS(Raw_Actuals!$H:$H,Raw_Actuals!$E:$E,B212,Raw_Actuals!$F:$F,C212,Raw_Actuals!$B:$B,D212)</f>
        <v>18100</v>
      </c>
      <c r="I212" s="16">
        <f t="shared" si="12"/>
        <v>-3900</v>
      </c>
      <c r="J212" s="17">
        <f t="shared" si="13"/>
        <v>-0.17727272727272728</v>
      </c>
      <c r="K212" s="18" t="str">
        <f t="shared" si="14"/>
        <v>🟡 Under Budget</v>
      </c>
      <c r="L212" s="29" t="str">
        <f t="shared" si="15"/>
        <v>Underspend: check if deferred</v>
      </c>
    </row>
    <row r="213" spans="1:12" ht="15" customHeight="1" x14ac:dyDescent="0.45">
      <c r="A213" s="26" t="s">
        <v>1181</v>
      </c>
      <c r="B213" s="9" t="s">
        <v>35</v>
      </c>
      <c r="C213" s="9" t="s">
        <v>14</v>
      </c>
      <c r="D213" s="9">
        <v>9</v>
      </c>
      <c r="E213" s="9" t="s">
        <v>40</v>
      </c>
      <c r="F213" s="9" t="s">
        <v>41</v>
      </c>
      <c r="G213" s="4">
        <v>319000</v>
      </c>
      <c r="H213" s="10">
        <f>SUMIFS(Raw_Actuals!$H:$H,Raw_Actuals!$E:$E,B213,Raw_Actuals!$F:$F,C213,Raw_Actuals!$B:$B,D213)</f>
        <v>252700</v>
      </c>
      <c r="I213" s="11">
        <f t="shared" si="12"/>
        <v>-66300</v>
      </c>
      <c r="J213" s="12">
        <f t="shared" si="13"/>
        <v>-0.20783699059561128</v>
      </c>
      <c r="K213" s="13" t="str">
        <f t="shared" si="14"/>
        <v>🟡 Under Budget</v>
      </c>
      <c r="L213" s="28" t="str">
        <f t="shared" si="15"/>
        <v>Underspend: check if deferred</v>
      </c>
    </row>
    <row r="214" spans="1:12" ht="15" customHeight="1" x14ac:dyDescent="0.45">
      <c r="A214" s="27" t="s">
        <v>1182</v>
      </c>
      <c r="B214" s="14" t="s">
        <v>35</v>
      </c>
      <c r="C214" s="14" t="s">
        <v>105</v>
      </c>
      <c r="D214" s="14">
        <v>9</v>
      </c>
      <c r="E214" s="14" t="s">
        <v>40</v>
      </c>
      <c r="F214" s="14" t="s">
        <v>41</v>
      </c>
      <c r="G214" s="7">
        <v>44000</v>
      </c>
      <c r="H214" s="15">
        <f>SUMIFS(Raw_Actuals!$H:$H,Raw_Actuals!$E:$E,B214,Raw_Actuals!$F:$F,C214,Raw_Actuals!$B:$B,D214)</f>
        <v>38900</v>
      </c>
      <c r="I214" s="16">
        <f t="shared" si="12"/>
        <v>-5100</v>
      </c>
      <c r="J214" s="17">
        <f t="shared" si="13"/>
        <v>-0.11590909090909091</v>
      </c>
      <c r="K214" s="18" t="str">
        <f t="shared" si="14"/>
        <v>🟡 Under Budget</v>
      </c>
      <c r="L214" s="29" t="str">
        <f t="shared" si="15"/>
        <v>Underspend: check if deferred</v>
      </c>
    </row>
    <row r="215" spans="1:12" ht="15" customHeight="1" x14ac:dyDescent="0.45">
      <c r="A215" s="26" t="s">
        <v>1183</v>
      </c>
      <c r="B215" s="9" t="s">
        <v>35</v>
      </c>
      <c r="C215" s="9" t="s">
        <v>36</v>
      </c>
      <c r="D215" s="9">
        <v>9</v>
      </c>
      <c r="E215" s="9" t="s">
        <v>40</v>
      </c>
      <c r="F215" s="9" t="s">
        <v>41</v>
      </c>
      <c r="G215" s="4">
        <v>33000</v>
      </c>
      <c r="H215" s="10">
        <f>SUMIFS(Raw_Actuals!$H:$H,Raw_Actuals!$E:$E,B215,Raw_Actuals!$F:$F,C215,Raw_Actuals!$B:$B,D215)</f>
        <v>33000</v>
      </c>
      <c r="I215" s="11">
        <f t="shared" si="12"/>
        <v>0</v>
      </c>
      <c r="J215" s="12">
        <f t="shared" si="13"/>
        <v>0</v>
      </c>
      <c r="K215" s="13" t="str">
        <f t="shared" si="14"/>
        <v>🟢 On Track</v>
      </c>
      <c r="L215" s="28" t="str">
        <f t="shared" si="15"/>
        <v/>
      </c>
    </row>
    <row r="216" spans="1:12" ht="15" customHeight="1" x14ac:dyDescent="0.45">
      <c r="A216" s="27" t="s">
        <v>1184</v>
      </c>
      <c r="B216" s="14" t="s">
        <v>35</v>
      </c>
      <c r="C216" s="14" t="s">
        <v>75</v>
      </c>
      <c r="D216" s="14">
        <v>9</v>
      </c>
      <c r="E216" s="14" t="s">
        <v>40</v>
      </c>
      <c r="F216" s="14" t="s">
        <v>41</v>
      </c>
      <c r="G216" s="7">
        <v>16000</v>
      </c>
      <c r="H216" s="15">
        <f>SUMIFS(Raw_Actuals!$H:$H,Raw_Actuals!$E:$E,B216,Raw_Actuals!$F:$F,C216,Raw_Actuals!$B:$B,D216)</f>
        <v>14600</v>
      </c>
      <c r="I216" s="16">
        <f t="shared" si="12"/>
        <v>-1400</v>
      </c>
      <c r="J216" s="17">
        <f t="shared" si="13"/>
        <v>-8.7499999999999994E-2</v>
      </c>
      <c r="K216" s="18" t="str">
        <f t="shared" si="14"/>
        <v>🟢 On Track</v>
      </c>
      <c r="L216" s="29" t="str">
        <f t="shared" si="15"/>
        <v/>
      </c>
    </row>
    <row r="217" spans="1:12" ht="15" customHeight="1" x14ac:dyDescent="0.45">
      <c r="A217" s="26" t="s">
        <v>1185</v>
      </c>
      <c r="B217" s="9" t="s">
        <v>71</v>
      </c>
      <c r="C217" s="9" t="s">
        <v>14</v>
      </c>
      <c r="D217" s="9">
        <v>9</v>
      </c>
      <c r="E217" s="9" t="s">
        <v>40</v>
      </c>
      <c r="F217" s="9" t="s">
        <v>41</v>
      </c>
      <c r="G217" s="4">
        <v>451000</v>
      </c>
      <c r="H217" s="10">
        <f>SUMIFS(Raw_Actuals!$H:$H,Raw_Actuals!$E:$E,B217,Raw_Actuals!$F:$F,C217,Raw_Actuals!$B:$B,D217)</f>
        <v>390300</v>
      </c>
      <c r="I217" s="11">
        <f t="shared" si="12"/>
        <v>-60700</v>
      </c>
      <c r="J217" s="12">
        <f t="shared" si="13"/>
        <v>-0.13458980044345897</v>
      </c>
      <c r="K217" s="13" t="str">
        <f t="shared" si="14"/>
        <v>🟡 Under Budget</v>
      </c>
      <c r="L217" s="28" t="str">
        <f t="shared" si="15"/>
        <v>Underspend: check if deferred</v>
      </c>
    </row>
    <row r="218" spans="1:12" ht="15" customHeight="1" x14ac:dyDescent="0.45">
      <c r="A218" s="27" t="s">
        <v>1186</v>
      </c>
      <c r="B218" s="14" t="s">
        <v>71</v>
      </c>
      <c r="C218" s="14" t="s">
        <v>88</v>
      </c>
      <c r="D218" s="14">
        <v>9</v>
      </c>
      <c r="E218" s="14" t="s">
        <v>40</v>
      </c>
      <c r="F218" s="14" t="s">
        <v>41</v>
      </c>
      <c r="G218" s="7">
        <v>220000</v>
      </c>
      <c r="H218" s="15">
        <f>SUMIFS(Raw_Actuals!$H:$H,Raw_Actuals!$E:$E,B218,Raw_Actuals!$F:$F,C218,Raw_Actuals!$B:$B,D218)</f>
        <v>284000</v>
      </c>
      <c r="I218" s="16">
        <f t="shared" si="12"/>
        <v>64000</v>
      </c>
      <c r="J218" s="17">
        <f t="shared" si="13"/>
        <v>0.29090909090909089</v>
      </c>
      <c r="K218" s="18" t="str">
        <f t="shared" si="14"/>
        <v>🔴 Over Budget</v>
      </c>
      <c r="L218" s="29" t="str">
        <f t="shared" si="15"/>
        <v>Overspend: review with dept head</v>
      </c>
    </row>
    <row r="219" spans="1:12" ht="15" customHeight="1" x14ac:dyDescent="0.45">
      <c r="A219" s="26" t="s">
        <v>1187</v>
      </c>
      <c r="B219" s="9" t="s">
        <v>71</v>
      </c>
      <c r="C219" s="9" t="s">
        <v>63</v>
      </c>
      <c r="D219" s="9">
        <v>9</v>
      </c>
      <c r="E219" s="9" t="s">
        <v>40</v>
      </c>
      <c r="F219" s="9" t="s">
        <v>41</v>
      </c>
      <c r="G219" s="4">
        <v>61000</v>
      </c>
      <c r="H219" s="10">
        <f>SUMIFS(Raw_Actuals!$H:$H,Raw_Actuals!$E:$E,B219,Raw_Actuals!$F:$F,C219,Raw_Actuals!$B:$B,D219)</f>
        <v>48500</v>
      </c>
      <c r="I219" s="11">
        <f t="shared" si="12"/>
        <v>-12500</v>
      </c>
      <c r="J219" s="12">
        <f t="shared" si="13"/>
        <v>-0.20491803278688525</v>
      </c>
      <c r="K219" s="13" t="str">
        <f t="shared" si="14"/>
        <v>🟡 Under Budget</v>
      </c>
      <c r="L219" s="28" t="str">
        <f t="shared" si="15"/>
        <v>Underspend: check if deferred</v>
      </c>
    </row>
    <row r="220" spans="1:12" ht="15" customHeight="1" x14ac:dyDescent="0.45">
      <c r="A220" s="27" t="s">
        <v>1188</v>
      </c>
      <c r="B220" s="14" t="s">
        <v>71</v>
      </c>
      <c r="C220" s="14" t="s">
        <v>94</v>
      </c>
      <c r="D220" s="14">
        <v>9</v>
      </c>
      <c r="E220" s="14" t="s">
        <v>40</v>
      </c>
      <c r="F220" s="14" t="s">
        <v>41</v>
      </c>
      <c r="G220" s="7">
        <v>33000</v>
      </c>
      <c r="H220" s="15">
        <f>SUMIFS(Raw_Actuals!$H:$H,Raw_Actuals!$E:$E,B220,Raw_Actuals!$F:$F,C220,Raw_Actuals!$B:$B,D220)</f>
        <v>34100</v>
      </c>
      <c r="I220" s="16">
        <f t="shared" si="12"/>
        <v>1100</v>
      </c>
      <c r="J220" s="17">
        <f t="shared" si="13"/>
        <v>3.3333333333333333E-2</v>
      </c>
      <c r="K220" s="18" t="str">
        <f t="shared" si="14"/>
        <v>🟢 On Track</v>
      </c>
      <c r="L220" s="29" t="str">
        <f t="shared" si="15"/>
        <v/>
      </c>
    </row>
    <row r="221" spans="1:12" ht="15" customHeight="1" x14ac:dyDescent="0.45">
      <c r="A221" s="26" t="s">
        <v>1189</v>
      </c>
      <c r="B221" s="9" t="s">
        <v>57</v>
      </c>
      <c r="C221" s="9" t="s">
        <v>14</v>
      </c>
      <c r="D221" s="9">
        <v>10</v>
      </c>
      <c r="E221" s="9" t="s">
        <v>40</v>
      </c>
      <c r="F221" s="9" t="s">
        <v>30</v>
      </c>
      <c r="G221" s="4">
        <v>441000</v>
      </c>
      <c r="H221" s="10">
        <f>SUMIFS(Raw_Actuals!$H:$H,Raw_Actuals!$E:$E,B221,Raw_Actuals!$F:$F,C221,Raw_Actuals!$B:$B,D221)</f>
        <v>437100</v>
      </c>
      <c r="I221" s="11">
        <f t="shared" si="12"/>
        <v>-3900</v>
      </c>
      <c r="J221" s="12">
        <f t="shared" si="13"/>
        <v>-8.8435374149659872E-3</v>
      </c>
      <c r="K221" s="13" t="str">
        <f t="shared" si="14"/>
        <v>🟢 On Track</v>
      </c>
      <c r="L221" s="28" t="str">
        <f t="shared" si="15"/>
        <v/>
      </c>
    </row>
    <row r="222" spans="1:12" ht="15" customHeight="1" x14ac:dyDescent="0.45">
      <c r="A222" s="27" t="s">
        <v>1190</v>
      </c>
      <c r="B222" s="14" t="s">
        <v>57</v>
      </c>
      <c r="C222" s="14" t="s">
        <v>75</v>
      </c>
      <c r="D222" s="14">
        <v>10</v>
      </c>
      <c r="E222" s="14" t="s">
        <v>40</v>
      </c>
      <c r="F222" s="14" t="s">
        <v>30</v>
      </c>
      <c r="G222" s="7">
        <v>37000</v>
      </c>
      <c r="H222" s="15">
        <f>SUMIFS(Raw_Actuals!$H:$H,Raw_Actuals!$E:$E,B222,Raw_Actuals!$F:$F,C222,Raw_Actuals!$B:$B,D222)</f>
        <v>36400</v>
      </c>
      <c r="I222" s="16">
        <f t="shared" si="12"/>
        <v>-600</v>
      </c>
      <c r="J222" s="17">
        <f t="shared" si="13"/>
        <v>-1.6216216216216217E-2</v>
      </c>
      <c r="K222" s="18" t="str">
        <f t="shared" si="14"/>
        <v>🟢 On Track</v>
      </c>
      <c r="L222" s="29" t="str">
        <f t="shared" si="15"/>
        <v/>
      </c>
    </row>
    <row r="223" spans="1:12" ht="15" customHeight="1" x14ac:dyDescent="0.45">
      <c r="A223" s="26" t="s">
        <v>1191</v>
      </c>
      <c r="B223" s="9" t="s">
        <v>57</v>
      </c>
      <c r="C223" s="9" t="s">
        <v>85</v>
      </c>
      <c r="D223" s="9">
        <v>10</v>
      </c>
      <c r="E223" s="9" t="s">
        <v>40</v>
      </c>
      <c r="F223" s="9" t="s">
        <v>30</v>
      </c>
      <c r="G223" s="4">
        <v>58000</v>
      </c>
      <c r="H223" s="10">
        <f>SUMIFS(Raw_Actuals!$H:$H,Raw_Actuals!$E:$E,B223,Raw_Actuals!$F:$F,C223,Raw_Actuals!$B:$B,D223)</f>
        <v>54200</v>
      </c>
      <c r="I223" s="11">
        <f t="shared" si="12"/>
        <v>-3800</v>
      </c>
      <c r="J223" s="12">
        <f t="shared" si="13"/>
        <v>-6.5517241379310351E-2</v>
      </c>
      <c r="K223" s="13" t="str">
        <f t="shared" si="14"/>
        <v>🟢 On Track</v>
      </c>
      <c r="L223" s="28" t="str">
        <f t="shared" si="15"/>
        <v/>
      </c>
    </row>
    <row r="224" spans="1:12" ht="15" customHeight="1" x14ac:dyDescent="0.45">
      <c r="A224" s="27" t="s">
        <v>1192</v>
      </c>
      <c r="B224" s="14" t="s">
        <v>57</v>
      </c>
      <c r="C224" s="14" t="s">
        <v>63</v>
      </c>
      <c r="D224" s="14">
        <v>10</v>
      </c>
      <c r="E224" s="14" t="s">
        <v>40</v>
      </c>
      <c r="F224" s="14" t="s">
        <v>30</v>
      </c>
      <c r="G224" s="7">
        <v>19000</v>
      </c>
      <c r="H224" s="15">
        <f>SUMIFS(Raw_Actuals!$H:$H,Raw_Actuals!$E:$E,B224,Raw_Actuals!$F:$F,C224,Raw_Actuals!$B:$B,D224)</f>
        <v>18800</v>
      </c>
      <c r="I224" s="16">
        <f t="shared" si="12"/>
        <v>-200</v>
      </c>
      <c r="J224" s="17">
        <f t="shared" si="13"/>
        <v>-1.0526315789473684E-2</v>
      </c>
      <c r="K224" s="18" t="str">
        <f t="shared" si="14"/>
        <v>🟢 On Track</v>
      </c>
      <c r="L224" s="29" t="str">
        <f t="shared" si="15"/>
        <v/>
      </c>
    </row>
    <row r="225" spans="1:12" ht="15" customHeight="1" x14ac:dyDescent="0.45">
      <c r="A225" s="26" t="s">
        <v>1193</v>
      </c>
      <c r="B225" s="9" t="s">
        <v>13</v>
      </c>
      <c r="C225" s="9" t="s">
        <v>14</v>
      </c>
      <c r="D225" s="9">
        <v>10</v>
      </c>
      <c r="E225" s="9" t="s">
        <v>40</v>
      </c>
      <c r="F225" s="9" t="s">
        <v>30</v>
      </c>
      <c r="G225" s="4">
        <v>399000</v>
      </c>
      <c r="H225" s="10">
        <f>SUMIFS(Raw_Actuals!$H:$H,Raw_Actuals!$E:$E,B225,Raw_Actuals!$F:$F,C225,Raw_Actuals!$B:$B,D225)</f>
        <v>375700</v>
      </c>
      <c r="I225" s="11">
        <f t="shared" si="12"/>
        <v>-23300</v>
      </c>
      <c r="J225" s="12">
        <f t="shared" si="13"/>
        <v>-5.8395989974937342E-2</v>
      </c>
      <c r="K225" s="13" t="str">
        <f t="shared" si="14"/>
        <v>🟢 On Track</v>
      </c>
      <c r="L225" s="28" t="str">
        <f t="shared" si="15"/>
        <v/>
      </c>
    </row>
    <row r="226" spans="1:12" ht="15" customHeight="1" x14ac:dyDescent="0.45">
      <c r="A226" s="27" t="s">
        <v>1194</v>
      </c>
      <c r="B226" s="14" t="s">
        <v>13</v>
      </c>
      <c r="C226" s="14" t="s">
        <v>102</v>
      </c>
      <c r="D226" s="14">
        <v>10</v>
      </c>
      <c r="E226" s="14" t="s">
        <v>40</v>
      </c>
      <c r="F226" s="14" t="s">
        <v>30</v>
      </c>
      <c r="G226" s="7">
        <v>158000</v>
      </c>
      <c r="H226" s="15">
        <f>SUMIFS(Raw_Actuals!$H:$H,Raw_Actuals!$E:$E,B226,Raw_Actuals!$F:$F,C226,Raw_Actuals!$B:$B,D226)</f>
        <v>154700</v>
      </c>
      <c r="I226" s="16">
        <f t="shared" si="12"/>
        <v>-3300</v>
      </c>
      <c r="J226" s="17">
        <f t="shared" si="13"/>
        <v>-2.0886075949367089E-2</v>
      </c>
      <c r="K226" s="18" t="str">
        <f t="shared" si="14"/>
        <v>🟢 On Track</v>
      </c>
      <c r="L226" s="29" t="str">
        <f t="shared" si="15"/>
        <v/>
      </c>
    </row>
    <row r="227" spans="1:12" ht="15" customHeight="1" x14ac:dyDescent="0.45">
      <c r="A227" s="26" t="s">
        <v>1195</v>
      </c>
      <c r="B227" s="9" t="s">
        <v>13</v>
      </c>
      <c r="C227" s="9" t="s">
        <v>50</v>
      </c>
      <c r="D227" s="9">
        <v>10</v>
      </c>
      <c r="E227" s="9" t="s">
        <v>40</v>
      </c>
      <c r="F227" s="9" t="s">
        <v>30</v>
      </c>
      <c r="G227" s="4">
        <v>74000</v>
      </c>
      <c r="H227" s="10">
        <f>SUMIFS(Raw_Actuals!$H:$H,Raw_Actuals!$E:$E,B227,Raw_Actuals!$F:$F,C227,Raw_Actuals!$B:$B,D227)</f>
        <v>73100</v>
      </c>
      <c r="I227" s="11">
        <f t="shared" si="12"/>
        <v>-900</v>
      </c>
      <c r="J227" s="12">
        <f t="shared" si="13"/>
        <v>-1.2162162162162163E-2</v>
      </c>
      <c r="K227" s="13" t="str">
        <f t="shared" si="14"/>
        <v>🟢 On Track</v>
      </c>
      <c r="L227" s="28" t="str">
        <f t="shared" si="15"/>
        <v/>
      </c>
    </row>
    <row r="228" spans="1:12" ht="15" customHeight="1" x14ac:dyDescent="0.45">
      <c r="A228" s="27" t="s">
        <v>1196</v>
      </c>
      <c r="B228" s="14" t="s">
        <v>13</v>
      </c>
      <c r="C228" s="14" t="s">
        <v>63</v>
      </c>
      <c r="D228" s="14">
        <v>10</v>
      </c>
      <c r="E228" s="14" t="s">
        <v>40</v>
      </c>
      <c r="F228" s="14" t="s">
        <v>30</v>
      </c>
      <c r="G228" s="7">
        <v>26000</v>
      </c>
      <c r="H228" s="15">
        <f>SUMIFS(Raw_Actuals!$H:$H,Raw_Actuals!$E:$E,B228,Raw_Actuals!$F:$F,C228,Raw_Actuals!$B:$B,D228)</f>
        <v>25200</v>
      </c>
      <c r="I228" s="16">
        <f t="shared" si="12"/>
        <v>-800</v>
      </c>
      <c r="J228" s="17">
        <f t="shared" si="13"/>
        <v>-3.0769230769230771E-2</v>
      </c>
      <c r="K228" s="18" t="str">
        <f t="shared" si="14"/>
        <v>🟢 On Track</v>
      </c>
      <c r="L228" s="29" t="str">
        <f t="shared" si="15"/>
        <v/>
      </c>
    </row>
    <row r="229" spans="1:12" ht="15" customHeight="1" x14ac:dyDescent="0.45">
      <c r="A229" s="26" t="s">
        <v>1197</v>
      </c>
      <c r="B229" s="9" t="s">
        <v>24</v>
      </c>
      <c r="C229" s="9" t="s">
        <v>14</v>
      </c>
      <c r="D229" s="9">
        <v>10</v>
      </c>
      <c r="E229" s="9" t="s">
        <v>40</v>
      </c>
      <c r="F229" s="9" t="s">
        <v>30</v>
      </c>
      <c r="G229" s="4">
        <v>525000</v>
      </c>
      <c r="H229" s="10">
        <f>SUMIFS(Raw_Actuals!$H:$H,Raw_Actuals!$E:$E,B229,Raw_Actuals!$F:$F,C229,Raw_Actuals!$B:$B,D229)</f>
        <v>432900</v>
      </c>
      <c r="I229" s="11">
        <f t="shared" si="12"/>
        <v>-92100</v>
      </c>
      <c r="J229" s="12">
        <f t="shared" si="13"/>
        <v>-0.17542857142857143</v>
      </c>
      <c r="K229" s="13" t="str">
        <f t="shared" si="14"/>
        <v>🟡 Under Budget</v>
      </c>
      <c r="L229" s="28" t="str">
        <f t="shared" si="15"/>
        <v>Underspend: check if deferred</v>
      </c>
    </row>
    <row r="230" spans="1:12" ht="15" customHeight="1" x14ac:dyDescent="0.45">
      <c r="A230" s="27" t="s">
        <v>1198</v>
      </c>
      <c r="B230" s="14" t="s">
        <v>24</v>
      </c>
      <c r="C230" s="14" t="s">
        <v>36</v>
      </c>
      <c r="D230" s="14">
        <v>10</v>
      </c>
      <c r="E230" s="14" t="s">
        <v>40</v>
      </c>
      <c r="F230" s="14" t="s">
        <v>30</v>
      </c>
      <c r="G230" s="7">
        <v>94000</v>
      </c>
      <c r="H230" s="15">
        <f>SUMIFS(Raw_Actuals!$H:$H,Raw_Actuals!$E:$E,B230,Raw_Actuals!$F:$F,C230,Raw_Actuals!$B:$B,D230)</f>
        <v>95900</v>
      </c>
      <c r="I230" s="16">
        <f t="shared" si="12"/>
        <v>1900</v>
      </c>
      <c r="J230" s="17">
        <f t="shared" si="13"/>
        <v>2.021276595744681E-2</v>
      </c>
      <c r="K230" s="18" t="str">
        <f t="shared" si="14"/>
        <v>🟢 On Track</v>
      </c>
      <c r="L230" s="29" t="str">
        <f t="shared" si="15"/>
        <v/>
      </c>
    </row>
    <row r="231" spans="1:12" ht="15" customHeight="1" x14ac:dyDescent="0.45">
      <c r="A231" s="26" t="s">
        <v>1199</v>
      </c>
      <c r="B231" s="9" t="s">
        <v>24</v>
      </c>
      <c r="C231" s="9" t="s">
        <v>25</v>
      </c>
      <c r="D231" s="9">
        <v>10</v>
      </c>
      <c r="E231" s="9" t="s">
        <v>40</v>
      </c>
      <c r="F231" s="9" t="s">
        <v>30</v>
      </c>
      <c r="G231" s="4">
        <v>84000</v>
      </c>
      <c r="H231" s="10">
        <f>SUMIFS(Raw_Actuals!$H:$H,Raw_Actuals!$E:$E,B231,Raw_Actuals!$F:$F,C231,Raw_Actuals!$B:$B,D231)</f>
        <v>128000</v>
      </c>
      <c r="I231" s="11">
        <f t="shared" si="12"/>
        <v>44000</v>
      </c>
      <c r="J231" s="12">
        <f t="shared" si="13"/>
        <v>0.52380952380952384</v>
      </c>
      <c r="K231" s="13" t="str">
        <f t="shared" si="14"/>
        <v>🔴 Over Budget</v>
      </c>
      <c r="L231" s="28" t="str">
        <f t="shared" si="15"/>
        <v>Overspend: review with dept head</v>
      </c>
    </row>
    <row r="232" spans="1:12" ht="15" customHeight="1" x14ac:dyDescent="0.45">
      <c r="A232" s="27" t="s">
        <v>1200</v>
      </c>
      <c r="B232" s="14" t="s">
        <v>24</v>
      </c>
      <c r="C232" s="14" t="s">
        <v>44</v>
      </c>
      <c r="D232" s="14">
        <v>10</v>
      </c>
      <c r="E232" s="14" t="s">
        <v>40</v>
      </c>
      <c r="F232" s="14" t="s">
        <v>30</v>
      </c>
      <c r="G232" s="7">
        <v>116000</v>
      </c>
      <c r="H232" s="15">
        <f>SUMIFS(Raw_Actuals!$H:$H,Raw_Actuals!$E:$E,B232,Raw_Actuals!$F:$F,C232,Raw_Actuals!$B:$B,D232)</f>
        <v>116900</v>
      </c>
      <c r="I232" s="16">
        <f t="shared" si="12"/>
        <v>900</v>
      </c>
      <c r="J232" s="17">
        <f t="shared" si="13"/>
        <v>7.7586206896551723E-3</v>
      </c>
      <c r="K232" s="18" t="str">
        <f t="shared" si="14"/>
        <v>🟢 On Track</v>
      </c>
      <c r="L232" s="29" t="str">
        <f t="shared" si="15"/>
        <v/>
      </c>
    </row>
    <row r="233" spans="1:12" ht="15" customHeight="1" x14ac:dyDescent="0.45">
      <c r="A233" s="26" t="s">
        <v>1201</v>
      </c>
      <c r="B233" s="9" t="s">
        <v>19</v>
      </c>
      <c r="C233" s="9" t="s">
        <v>14</v>
      </c>
      <c r="D233" s="9">
        <v>10</v>
      </c>
      <c r="E233" s="9" t="s">
        <v>40</v>
      </c>
      <c r="F233" s="9" t="s">
        <v>30</v>
      </c>
      <c r="G233" s="4">
        <v>368000</v>
      </c>
      <c r="H233" s="10">
        <f>SUMIFS(Raw_Actuals!$H:$H,Raw_Actuals!$E:$E,B233,Raw_Actuals!$F:$F,C233,Raw_Actuals!$B:$B,D233)</f>
        <v>380700</v>
      </c>
      <c r="I233" s="11">
        <f t="shared" si="12"/>
        <v>12700</v>
      </c>
      <c r="J233" s="12">
        <f t="shared" si="13"/>
        <v>3.4510869565217393E-2</v>
      </c>
      <c r="K233" s="13" t="str">
        <f t="shared" si="14"/>
        <v>🟢 On Track</v>
      </c>
      <c r="L233" s="28" t="str">
        <f t="shared" si="15"/>
        <v/>
      </c>
    </row>
    <row r="234" spans="1:12" ht="15" customHeight="1" x14ac:dyDescent="0.45">
      <c r="A234" s="27" t="s">
        <v>1202</v>
      </c>
      <c r="B234" s="14" t="s">
        <v>19</v>
      </c>
      <c r="C234" s="14" t="s">
        <v>53</v>
      </c>
      <c r="D234" s="14">
        <v>10</v>
      </c>
      <c r="E234" s="14" t="s">
        <v>40</v>
      </c>
      <c r="F234" s="14" t="s">
        <v>30</v>
      </c>
      <c r="G234" s="7">
        <v>63000</v>
      </c>
      <c r="H234" s="15">
        <f>SUMIFS(Raw_Actuals!$H:$H,Raw_Actuals!$E:$E,B234,Raw_Actuals!$F:$F,C234,Raw_Actuals!$B:$B,D234)</f>
        <v>67500</v>
      </c>
      <c r="I234" s="16">
        <f t="shared" si="12"/>
        <v>4500</v>
      </c>
      <c r="J234" s="17">
        <f t="shared" si="13"/>
        <v>7.1428571428571425E-2</v>
      </c>
      <c r="K234" s="18" t="str">
        <f t="shared" si="14"/>
        <v>🟢 On Track</v>
      </c>
      <c r="L234" s="29" t="str">
        <f t="shared" si="15"/>
        <v/>
      </c>
    </row>
    <row r="235" spans="1:12" ht="15" customHeight="1" x14ac:dyDescent="0.45">
      <c r="A235" s="26" t="s">
        <v>1203</v>
      </c>
      <c r="B235" s="9" t="s">
        <v>19</v>
      </c>
      <c r="C235" s="9" t="s">
        <v>31</v>
      </c>
      <c r="D235" s="9">
        <v>10</v>
      </c>
      <c r="E235" s="9" t="s">
        <v>40</v>
      </c>
      <c r="F235" s="9" t="s">
        <v>30</v>
      </c>
      <c r="G235" s="4">
        <v>47000</v>
      </c>
      <c r="H235" s="10">
        <f>SUMIFS(Raw_Actuals!$H:$H,Raw_Actuals!$E:$E,B235,Raw_Actuals!$F:$F,C235,Raw_Actuals!$B:$B,D235)</f>
        <v>43100</v>
      </c>
      <c r="I235" s="11">
        <f t="shared" si="12"/>
        <v>-3900</v>
      </c>
      <c r="J235" s="12">
        <f t="shared" si="13"/>
        <v>-8.2978723404255314E-2</v>
      </c>
      <c r="K235" s="13" t="str">
        <f t="shared" si="14"/>
        <v>🟢 On Track</v>
      </c>
      <c r="L235" s="28" t="str">
        <f t="shared" si="15"/>
        <v/>
      </c>
    </row>
    <row r="236" spans="1:12" ht="15" customHeight="1" x14ac:dyDescent="0.45">
      <c r="A236" s="27" t="s">
        <v>1204</v>
      </c>
      <c r="B236" s="14" t="s">
        <v>19</v>
      </c>
      <c r="C236" s="14" t="s">
        <v>63</v>
      </c>
      <c r="D236" s="14">
        <v>10</v>
      </c>
      <c r="E236" s="14" t="s">
        <v>40</v>
      </c>
      <c r="F236" s="14" t="s">
        <v>30</v>
      </c>
      <c r="G236" s="7">
        <v>21000</v>
      </c>
      <c r="H236" s="15">
        <f>SUMIFS(Raw_Actuals!$H:$H,Raw_Actuals!$E:$E,B236,Raw_Actuals!$F:$F,C236,Raw_Actuals!$B:$B,D236)</f>
        <v>18300</v>
      </c>
      <c r="I236" s="16">
        <f t="shared" si="12"/>
        <v>-2700</v>
      </c>
      <c r="J236" s="17">
        <f t="shared" si="13"/>
        <v>-0.12857142857142856</v>
      </c>
      <c r="K236" s="18" t="str">
        <f t="shared" si="14"/>
        <v>🟡 Under Budget</v>
      </c>
      <c r="L236" s="29" t="str">
        <f t="shared" si="15"/>
        <v>Underspend: check if deferred</v>
      </c>
    </row>
    <row r="237" spans="1:12" ht="15" customHeight="1" x14ac:dyDescent="0.45">
      <c r="A237" s="26" t="s">
        <v>1205</v>
      </c>
      <c r="B237" s="9" t="s">
        <v>35</v>
      </c>
      <c r="C237" s="9" t="s">
        <v>14</v>
      </c>
      <c r="D237" s="9">
        <v>10</v>
      </c>
      <c r="E237" s="9" t="s">
        <v>40</v>
      </c>
      <c r="F237" s="9" t="s">
        <v>30</v>
      </c>
      <c r="G237" s="4">
        <v>304000</v>
      </c>
      <c r="H237" s="10">
        <f>SUMIFS(Raw_Actuals!$H:$H,Raw_Actuals!$E:$E,B237,Raw_Actuals!$F:$F,C237,Raw_Actuals!$B:$B,D237)</f>
        <v>290700</v>
      </c>
      <c r="I237" s="11">
        <f t="shared" si="12"/>
        <v>-13300</v>
      </c>
      <c r="J237" s="12">
        <f t="shared" si="13"/>
        <v>-4.3749999999999997E-2</v>
      </c>
      <c r="K237" s="13" t="str">
        <f t="shared" si="14"/>
        <v>🟢 On Track</v>
      </c>
      <c r="L237" s="28" t="str">
        <f t="shared" si="15"/>
        <v/>
      </c>
    </row>
    <row r="238" spans="1:12" ht="15" customHeight="1" x14ac:dyDescent="0.45">
      <c r="A238" s="27" t="s">
        <v>1206</v>
      </c>
      <c r="B238" s="14" t="s">
        <v>35</v>
      </c>
      <c r="C238" s="14" t="s">
        <v>105</v>
      </c>
      <c r="D238" s="14">
        <v>10</v>
      </c>
      <c r="E238" s="14" t="s">
        <v>40</v>
      </c>
      <c r="F238" s="14" t="s">
        <v>30</v>
      </c>
      <c r="G238" s="7">
        <v>42000</v>
      </c>
      <c r="H238" s="15">
        <f>SUMIFS(Raw_Actuals!$H:$H,Raw_Actuals!$E:$E,B238,Raw_Actuals!$F:$F,C238,Raw_Actuals!$B:$B,D238)</f>
        <v>38600</v>
      </c>
      <c r="I238" s="16">
        <f t="shared" si="12"/>
        <v>-3400</v>
      </c>
      <c r="J238" s="17">
        <f t="shared" si="13"/>
        <v>-8.0952380952380956E-2</v>
      </c>
      <c r="K238" s="18" t="str">
        <f t="shared" si="14"/>
        <v>🟢 On Track</v>
      </c>
      <c r="L238" s="29" t="str">
        <f t="shared" si="15"/>
        <v/>
      </c>
    </row>
    <row r="239" spans="1:12" ht="15" customHeight="1" x14ac:dyDescent="0.45">
      <c r="A239" s="26" t="s">
        <v>1207</v>
      </c>
      <c r="B239" s="9" t="s">
        <v>35</v>
      </c>
      <c r="C239" s="9" t="s">
        <v>36</v>
      </c>
      <c r="D239" s="9">
        <v>10</v>
      </c>
      <c r="E239" s="9" t="s">
        <v>40</v>
      </c>
      <c r="F239" s="9" t="s">
        <v>30</v>
      </c>
      <c r="G239" s="4">
        <v>32000</v>
      </c>
      <c r="H239" s="10">
        <f>SUMIFS(Raw_Actuals!$H:$H,Raw_Actuals!$E:$E,B239,Raw_Actuals!$F:$F,C239,Raw_Actuals!$B:$B,D239)</f>
        <v>32700</v>
      </c>
      <c r="I239" s="11">
        <f t="shared" si="12"/>
        <v>700</v>
      </c>
      <c r="J239" s="12">
        <f t="shared" si="13"/>
        <v>2.1874999999999999E-2</v>
      </c>
      <c r="K239" s="13" t="str">
        <f t="shared" si="14"/>
        <v>🟢 On Track</v>
      </c>
      <c r="L239" s="28" t="str">
        <f t="shared" si="15"/>
        <v/>
      </c>
    </row>
    <row r="240" spans="1:12" ht="15" customHeight="1" x14ac:dyDescent="0.45">
      <c r="A240" s="27" t="s">
        <v>1208</v>
      </c>
      <c r="B240" s="14" t="s">
        <v>35</v>
      </c>
      <c r="C240" s="14" t="s">
        <v>75</v>
      </c>
      <c r="D240" s="14">
        <v>10</v>
      </c>
      <c r="E240" s="14" t="s">
        <v>40</v>
      </c>
      <c r="F240" s="14" t="s">
        <v>30</v>
      </c>
      <c r="G240" s="7">
        <v>16000</v>
      </c>
      <c r="H240" s="15">
        <f>SUMIFS(Raw_Actuals!$H:$H,Raw_Actuals!$E:$E,B240,Raw_Actuals!$F:$F,C240,Raw_Actuals!$B:$B,D240)</f>
        <v>14400</v>
      </c>
      <c r="I240" s="16">
        <f t="shared" si="12"/>
        <v>-1600</v>
      </c>
      <c r="J240" s="17">
        <f t="shared" si="13"/>
        <v>-0.1</v>
      </c>
      <c r="K240" s="18" t="str">
        <f t="shared" si="14"/>
        <v>🟢 On Track</v>
      </c>
      <c r="L240" s="29" t="str">
        <f t="shared" si="15"/>
        <v/>
      </c>
    </row>
    <row r="241" spans="1:12" ht="15" customHeight="1" x14ac:dyDescent="0.45">
      <c r="A241" s="26" t="s">
        <v>1209</v>
      </c>
      <c r="B241" s="9" t="s">
        <v>71</v>
      </c>
      <c r="C241" s="9" t="s">
        <v>14</v>
      </c>
      <c r="D241" s="9">
        <v>10</v>
      </c>
      <c r="E241" s="9" t="s">
        <v>40</v>
      </c>
      <c r="F241" s="9" t="s">
        <v>30</v>
      </c>
      <c r="G241" s="4">
        <v>430000</v>
      </c>
      <c r="H241" s="10">
        <f>SUMIFS(Raw_Actuals!$H:$H,Raw_Actuals!$E:$E,B241,Raw_Actuals!$F:$F,C241,Raw_Actuals!$B:$B,D241)</f>
        <v>377900</v>
      </c>
      <c r="I241" s="11">
        <f t="shared" si="12"/>
        <v>-52100</v>
      </c>
      <c r="J241" s="12">
        <f t="shared" si="13"/>
        <v>-0.12116279069767442</v>
      </c>
      <c r="K241" s="13" t="str">
        <f t="shared" si="14"/>
        <v>🟡 Under Budget</v>
      </c>
      <c r="L241" s="28" t="str">
        <f t="shared" si="15"/>
        <v>Underspend: check if deferred</v>
      </c>
    </row>
    <row r="242" spans="1:12" ht="15" customHeight="1" x14ac:dyDescent="0.45">
      <c r="A242" s="27" t="s">
        <v>1210</v>
      </c>
      <c r="B242" s="14" t="s">
        <v>71</v>
      </c>
      <c r="C242" s="14" t="s">
        <v>88</v>
      </c>
      <c r="D242" s="14">
        <v>10</v>
      </c>
      <c r="E242" s="14" t="s">
        <v>40</v>
      </c>
      <c r="F242" s="14" t="s">
        <v>30</v>
      </c>
      <c r="G242" s="7">
        <v>210000</v>
      </c>
      <c r="H242" s="15">
        <f>SUMIFS(Raw_Actuals!$H:$H,Raw_Actuals!$E:$E,B242,Raw_Actuals!$F:$F,C242,Raw_Actuals!$B:$B,D242)</f>
        <v>270000</v>
      </c>
      <c r="I242" s="16">
        <f t="shared" si="12"/>
        <v>60000</v>
      </c>
      <c r="J242" s="17">
        <f t="shared" si="13"/>
        <v>0.2857142857142857</v>
      </c>
      <c r="K242" s="18" t="str">
        <f t="shared" si="14"/>
        <v>🔴 Over Budget</v>
      </c>
      <c r="L242" s="29" t="str">
        <f t="shared" si="15"/>
        <v>Overspend: review with dept head</v>
      </c>
    </row>
    <row r="243" spans="1:12" ht="15" customHeight="1" x14ac:dyDescent="0.45">
      <c r="A243" s="26" t="s">
        <v>1211</v>
      </c>
      <c r="B243" s="9" t="s">
        <v>71</v>
      </c>
      <c r="C243" s="9" t="s">
        <v>63</v>
      </c>
      <c r="D243" s="9">
        <v>10</v>
      </c>
      <c r="E243" s="9" t="s">
        <v>40</v>
      </c>
      <c r="F243" s="9" t="s">
        <v>30</v>
      </c>
      <c r="G243" s="4">
        <v>58000</v>
      </c>
      <c r="H243" s="10">
        <f>SUMIFS(Raw_Actuals!$H:$H,Raw_Actuals!$E:$E,B243,Raw_Actuals!$F:$F,C243,Raw_Actuals!$B:$B,D243)</f>
        <v>60000</v>
      </c>
      <c r="I243" s="11">
        <f t="shared" si="12"/>
        <v>2000</v>
      </c>
      <c r="J243" s="12">
        <f t="shared" si="13"/>
        <v>3.4482758620689655E-2</v>
      </c>
      <c r="K243" s="13" t="str">
        <f t="shared" si="14"/>
        <v>🟢 On Track</v>
      </c>
      <c r="L243" s="28" t="str">
        <f t="shared" si="15"/>
        <v/>
      </c>
    </row>
    <row r="244" spans="1:12" ht="15" customHeight="1" x14ac:dyDescent="0.45">
      <c r="A244" s="27" t="s">
        <v>1212</v>
      </c>
      <c r="B244" s="14" t="s">
        <v>71</v>
      </c>
      <c r="C244" s="14" t="s">
        <v>94</v>
      </c>
      <c r="D244" s="14">
        <v>10</v>
      </c>
      <c r="E244" s="14" t="s">
        <v>40</v>
      </c>
      <c r="F244" s="14" t="s">
        <v>30</v>
      </c>
      <c r="G244" s="7">
        <v>32000</v>
      </c>
      <c r="H244" s="15">
        <f>SUMIFS(Raw_Actuals!$H:$H,Raw_Actuals!$E:$E,B244,Raw_Actuals!$F:$F,C244,Raw_Actuals!$B:$B,D244)</f>
        <v>29900</v>
      </c>
      <c r="I244" s="16">
        <f t="shared" si="12"/>
        <v>-2100</v>
      </c>
      <c r="J244" s="17">
        <f t="shared" si="13"/>
        <v>-6.5625000000000003E-2</v>
      </c>
      <c r="K244" s="18" t="str">
        <f t="shared" si="14"/>
        <v>🟢 On Track</v>
      </c>
      <c r="L244" s="29" t="str">
        <f t="shared" si="15"/>
        <v/>
      </c>
    </row>
    <row r="245" spans="1:12" ht="15" customHeight="1" x14ac:dyDescent="0.45">
      <c r="A245" s="26" t="s">
        <v>1213</v>
      </c>
      <c r="B245" s="9" t="s">
        <v>57</v>
      </c>
      <c r="C245" s="9" t="s">
        <v>14</v>
      </c>
      <c r="D245" s="9">
        <v>11</v>
      </c>
      <c r="E245" s="9" t="s">
        <v>29</v>
      </c>
      <c r="F245" s="9" t="s">
        <v>30</v>
      </c>
      <c r="G245" s="4">
        <v>441000</v>
      </c>
      <c r="H245" s="10">
        <f>SUMIFS(Raw_Actuals!$H:$H,Raw_Actuals!$E:$E,B245,Raw_Actuals!$F:$F,C245,Raw_Actuals!$B:$B,D245)</f>
        <v>367600</v>
      </c>
      <c r="I245" s="11">
        <f t="shared" si="12"/>
        <v>-73400</v>
      </c>
      <c r="J245" s="12">
        <f t="shared" si="13"/>
        <v>-0.16643990929705216</v>
      </c>
      <c r="K245" s="13" t="str">
        <f t="shared" si="14"/>
        <v>🟡 Under Budget</v>
      </c>
      <c r="L245" s="28" t="str">
        <f t="shared" si="15"/>
        <v>Underspend: check if deferred</v>
      </c>
    </row>
    <row r="246" spans="1:12" ht="15" customHeight="1" x14ac:dyDescent="0.45">
      <c r="A246" s="27" t="s">
        <v>1214</v>
      </c>
      <c r="B246" s="14" t="s">
        <v>57</v>
      </c>
      <c r="C246" s="14" t="s">
        <v>75</v>
      </c>
      <c r="D246" s="14">
        <v>11</v>
      </c>
      <c r="E246" s="14" t="s">
        <v>29</v>
      </c>
      <c r="F246" s="14" t="s">
        <v>30</v>
      </c>
      <c r="G246" s="7">
        <v>37000</v>
      </c>
      <c r="H246" s="15">
        <f>SUMIFS(Raw_Actuals!$H:$H,Raw_Actuals!$E:$E,B246,Raw_Actuals!$F:$F,C246,Raw_Actuals!$B:$B,D246)</f>
        <v>38500</v>
      </c>
      <c r="I246" s="16">
        <f t="shared" si="12"/>
        <v>1500</v>
      </c>
      <c r="J246" s="17">
        <f t="shared" si="13"/>
        <v>4.0540540540540543E-2</v>
      </c>
      <c r="K246" s="18" t="str">
        <f t="shared" si="14"/>
        <v>🟢 On Track</v>
      </c>
      <c r="L246" s="29" t="str">
        <f t="shared" si="15"/>
        <v/>
      </c>
    </row>
    <row r="247" spans="1:12" ht="15" customHeight="1" x14ac:dyDescent="0.45">
      <c r="A247" s="26" t="s">
        <v>1215</v>
      </c>
      <c r="B247" s="9" t="s">
        <v>57</v>
      </c>
      <c r="C247" s="9" t="s">
        <v>85</v>
      </c>
      <c r="D247" s="9">
        <v>11</v>
      </c>
      <c r="E247" s="9" t="s">
        <v>29</v>
      </c>
      <c r="F247" s="9" t="s">
        <v>30</v>
      </c>
      <c r="G247" s="4">
        <v>58000</v>
      </c>
      <c r="H247" s="10">
        <f>SUMIFS(Raw_Actuals!$H:$H,Raw_Actuals!$E:$E,B247,Raw_Actuals!$F:$F,C247,Raw_Actuals!$B:$B,D247)</f>
        <v>61400</v>
      </c>
      <c r="I247" s="11">
        <f t="shared" si="12"/>
        <v>3400</v>
      </c>
      <c r="J247" s="12">
        <f t="shared" si="13"/>
        <v>5.8620689655172413E-2</v>
      </c>
      <c r="K247" s="13" t="str">
        <f t="shared" si="14"/>
        <v>🟢 On Track</v>
      </c>
      <c r="L247" s="28" t="str">
        <f t="shared" si="15"/>
        <v/>
      </c>
    </row>
    <row r="248" spans="1:12" ht="15" customHeight="1" x14ac:dyDescent="0.45">
      <c r="A248" s="27" t="s">
        <v>1216</v>
      </c>
      <c r="B248" s="14" t="s">
        <v>57</v>
      </c>
      <c r="C248" s="14" t="s">
        <v>63</v>
      </c>
      <c r="D248" s="14">
        <v>11</v>
      </c>
      <c r="E248" s="14" t="s">
        <v>29</v>
      </c>
      <c r="F248" s="14" t="s">
        <v>30</v>
      </c>
      <c r="G248" s="7">
        <v>19000</v>
      </c>
      <c r="H248" s="15">
        <f>SUMIFS(Raw_Actuals!$H:$H,Raw_Actuals!$E:$E,B248,Raw_Actuals!$F:$F,C248,Raw_Actuals!$B:$B,D248)</f>
        <v>17300</v>
      </c>
      <c r="I248" s="16">
        <f t="shared" si="12"/>
        <v>-1700</v>
      </c>
      <c r="J248" s="17">
        <f t="shared" si="13"/>
        <v>-8.9473684210526316E-2</v>
      </c>
      <c r="K248" s="18" t="str">
        <f t="shared" si="14"/>
        <v>🟢 On Track</v>
      </c>
      <c r="L248" s="29" t="str">
        <f t="shared" si="15"/>
        <v/>
      </c>
    </row>
    <row r="249" spans="1:12" ht="15" customHeight="1" x14ac:dyDescent="0.45">
      <c r="A249" s="26" t="s">
        <v>1217</v>
      </c>
      <c r="B249" s="9" t="s">
        <v>13</v>
      </c>
      <c r="C249" s="9" t="s">
        <v>14</v>
      </c>
      <c r="D249" s="9">
        <v>11</v>
      </c>
      <c r="E249" s="9" t="s">
        <v>29</v>
      </c>
      <c r="F249" s="9" t="s">
        <v>30</v>
      </c>
      <c r="G249" s="4">
        <v>399000</v>
      </c>
      <c r="H249" s="10">
        <f>SUMIFS(Raw_Actuals!$H:$H,Raw_Actuals!$E:$E,B249,Raw_Actuals!$F:$F,C249,Raw_Actuals!$B:$B,D249)</f>
        <v>418600</v>
      </c>
      <c r="I249" s="11">
        <f t="shared" si="12"/>
        <v>19600</v>
      </c>
      <c r="J249" s="12">
        <f t="shared" si="13"/>
        <v>4.912280701754386E-2</v>
      </c>
      <c r="K249" s="13" t="str">
        <f t="shared" si="14"/>
        <v>🟢 On Track</v>
      </c>
      <c r="L249" s="28" t="str">
        <f t="shared" si="15"/>
        <v/>
      </c>
    </row>
    <row r="250" spans="1:12" ht="15" customHeight="1" x14ac:dyDescent="0.45">
      <c r="A250" s="27" t="s">
        <v>1218</v>
      </c>
      <c r="B250" s="14" t="s">
        <v>13</v>
      </c>
      <c r="C250" s="14" t="s">
        <v>102</v>
      </c>
      <c r="D250" s="14">
        <v>11</v>
      </c>
      <c r="E250" s="14" t="s">
        <v>29</v>
      </c>
      <c r="F250" s="14" t="s">
        <v>30</v>
      </c>
      <c r="G250" s="7">
        <v>158000</v>
      </c>
      <c r="H250" s="15">
        <f>SUMIFS(Raw_Actuals!$H:$H,Raw_Actuals!$E:$E,B250,Raw_Actuals!$F:$F,C250,Raw_Actuals!$B:$B,D250)</f>
        <v>148700</v>
      </c>
      <c r="I250" s="16">
        <f t="shared" si="12"/>
        <v>-9300</v>
      </c>
      <c r="J250" s="17">
        <f t="shared" si="13"/>
        <v>-5.8860759493670887E-2</v>
      </c>
      <c r="K250" s="18" t="str">
        <f t="shared" si="14"/>
        <v>🟢 On Track</v>
      </c>
      <c r="L250" s="29" t="str">
        <f t="shared" si="15"/>
        <v/>
      </c>
    </row>
    <row r="251" spans="1:12" ht="15" customHeight="1" x14ac:dyDescent="0.45">
      <c r="A251" s="26" t="s">
        <v>1219</v>
      </c>
      <c r="B251" s="9" t="s">
        <v>13</v>
      </c>
      <c r="C251" s="9" t="s">
        <v>50</v>
      </c>
      <c r="D251" s="9">
        <v>11</v>
      </c>
      <c r="E251" s="9" t="s">
        <v>29</v>
      </c>
      <c r="F251" s="9" t="s">
        <v>30</v>
      </c>
      <c r="G251" s="4">
        <v>74000</v>
      </c>
      <c r="H251" s="10">
        <f>SUMIFS(Raw_Actuals!$H:$H,Raw_Actuals!$E:$E,B251,Raw_Actuals!$F:$F,C251,Raw_Actuals!$B:$B,D251)</f>
        <v>70600</v>
      </c>
      <c r="I251" s="11">
        <f t="shared" si="12"/>
        <v>-3400</v>
      </c>
      <c r="J251" s="12">
        <f t="shared" si="13"/>
        <v>-4.5945945945945948E-2</v>
      </c>
      <c r="K251" s="13" t="str">
        <f t="shared" si="14"/>
        <v>🟢 On Track</v>
      </c>
      <c r="L251" s="28" t="str">
        <f t="shared" si="15"/>
        <v/>
      </c>
    </row>
    <row r="252" spans="1:12" ht="15" customHeight="1" x14ac:dyDescent="0.45">
      <c r="A252" s="27" t="s">
        <v>1220</v>
      </c>
      <c r="B252" s="14" t="s">
        <v>13</v>
      </c>
      <c r="C252" s="14" t="s">
        <v>63</v>
      </c>
      <c r="D252" s="14">
        <v>11</v>
      </c>
      <c r="E252" s="14" t="s">
        <v>29</v>
      </c>
      <c r="F252" s="14" t="s">
        <v>30</v>
      </c>
      <c r="G252" s="7">
        <v>26000</v>
      </c>
      <c r="H252" s="15">
        <f>SUMIFS(Raw_Actuals!$H:$H,Raw_Actuals!$E:$E,B252,Raw_Actuals!$F:$F,C252,Raw_Actuals!$B:$B,D252)</f>
        <v>22200</v>
      </c>
      <c r="I252" s="16">
        <f t="shared" si="12"/>
        <v>-3800</v>
      </c>
      <c r="J252" s="17">
        <f t="shared" si="13"/>
        <v>-0.14615384615384616</v>
      </c>
      <c r="K252" s="18" t="str">
        <f t="shared" si="14"/>
        <v>🟡 Under Budget</v>
      </c>
      <c r="L252" s="29" t="str">
        <f t="shared" si="15"/>
        <v>Underspend: check if deferred</v>
      </c>
    </row>
    <row r="253" spans="1:12" ht="15" customHeight="1" x14ac:dyDescent="0.45">
      <c r="A253" s="26" t="s">
        <v>1221</v>
      </c>
      <c r="B253" s="9" t="s">
        <v>24</v>
      </c>
      <c r="C253" s="9" t="s">
        <v>14</v>
      </c>
      <c r="D253" s="9">
        <v>11</v>
      </c>
      <c r="E253" s="9" t="s">
        <v>29</v>
      </c>
      <c r="F253" s="9" t="s">
        <v>30</v>
      </c>
      <c r="G253" s="4">
        <v>525000</v>
      </c>
      <c r="H253" s="10">
        <f>SUMIFS(Raw_Actuals!$H:$H,Raw_Actuals!$E:$E,B253,Raw_Actuals!$F:$F,C253,Raw_Actuals!$B:$B,D253)</f>
        <v>434400</v>
      </c>
      <c r="I253" s="11">
        <f t="shared" si="12"/>
        <v>-90600</v>
      </c>
      <c r="J253" s="12">
        <f t="shared" si="13"/>
        <v>-0.17257142857142857</v>
      </c>
      <c r="K253" s="13" t="str">
        <f t="shared" si="14"/>
        <v>🟡 Under Budget</v>
      </c>
      <c r="L253" s="28" t="str">
        <f t="shared" si="15"/>
        <v>Underspend: check if deferred</v>
      </c>
    </row>
    <row r="254" spans="1:12" ht="15" customHeight="1" x14ac:dyDescent="0.45">
      <c r="A254" s="27" t="s">
        <v>1222</v>
      </c>
      <c r="B254" s="14" t="s">
        <v>24</v>
      </c>
      <c r="C254" s="14" t="s">
        <v>36</v>
      </c>
      <c r="D254" s="14">
        <v>11</v>
      </c>
      <c r="E254" s="14" t="s">
        <v>29</v>
      </c>
      <c r="F254" s="14" t="s">
        <v>30</v>
      </c>
      <c r="G254" s="7">
        <v>94000</v>
      </c>
      <c r="H254" s="15">
        <f>SUMIFS(Raw_Actuals!$H:$H,Raw_Actuals!$E:$E,B254,Raw_Actuals!$F:$F,C254,Raw_Actuals!$B:$B,D254)</f>
        <v>95900</v>
      </c>
      <c r="I254" s="16">
        <f t="shared" si="12"/>
        <v>1900</v>
      </c>
      <c r="J254" s="17">
        <f t="shared" si="13"/>
        <v>2.021276595744681E-2</v>
      </c>
      <c r="K254" s="18" t="str">
        <f t="shared" si="14"/>
        <v>🟢 On Track</v>
      </c>
      <c r="L254" s="29" t="str">
        <f t="shared" si="15"/>
        <v/>
      </c>
    </row>
    <row r="255" spans="1:12" ht="15" customHeight="1" x14ac:dyDescent="0.45">
      <c r="A255" s="26" t="s">
        <v>1223</v>
      </c>
      <c r="B255" s="9" t="s">
        <v>24</v>
      </c>
      <c r="C255" s="9" t="s">
        <v>25</v>
      </c>
      <c r="D255" s="9">
        <v>11</v>
      </c>
      <c r="E255" s="9" t="s">
        <v>29</v>
      </c>
      <c r="F255" s="9" t="s">
        <v>30</v>
      </c>
      <c r="G255" s="4">
        <v>84000</v>
      </c>
      <c r="H255" s="10">
        <f>SUMIFS(Raw_Actuals!$H:$H,Raw_Actuals!$E:$E,B255,Raw_Actuals!$F:$F,C255,Raw_Actuals!$B:$B,D255)</f>
        <v>107900</v>
      </c>
      <c r="I255" s="11">
        <f t="shared" si="12"/>
        <v>23900</v>
      </c>
      <c r="J255" s="12">
        <f t="shared" si="13"/>
        <v>0.28452380952380951</v>
      </c>
      <c r="K255" s="13" t="str">
        <f t="shared" si="14"/>
        <v>🔴 Over Budget</v>
      </c>
      <c r="L255" s="28" t="str">
        <f t="shared" si="15"/>
        <v>Overspend: review with dept head</v>
      </c>
    </row>
    <row r="256" spans="1:12" ht="15" customHeight="1" x14ac:dyDescent="0.45">
      <c r="A256" s="27" t="s">
        <v>1224</v>
      </c>
      <c r="B256" s="14" t="s">
        <v>24</v>
      </c>
      <c r="C256" s="14" t="s">
        <v>44</v>
      </c>
      <c r="D256" s="14">
        <v>11</v>
      </c>
      <c r="E256" s="14" t="s">
        <v>29</v>
      </c>
      <c r="F256" s="14" t="s">
        <v>30</v>
      </c>
      <c r="G256" s="7">
        <v>116000</v>
      </c>
      <c r="H256" s="15">
        <f>SUMIFS(Raw_Actuals!$H:$H,Raw_Actuals!$E:$E,B256,Raw_Actuals!$F:$F,C256,Raw_Actuals!$B:$B,D256)</f>
        <v>111900</v>
      </c>
      <c r="I256" s="16">
        <f t="shared" si="12"/>
        <v>-4100</v>
      </c>
      <c r="J256" s="17">
        <f t="shared" si="13"/>
        <v>-3.5344827586206898E-2</v>
      </c>
      <c r="K256" s="18" t="str">
        <f t="shared" si="14"/>
        <v>🟢 On Track</v>
      </c>
      <c r="L256" s="29" t="str">
        <f t="shared" si="15"/>
        <v/>
      </c>
    </row>
    <row r="257" spans="1:12" ht="15" customHeight="1" x14ac:dyDescent="0.45">
      <c r="A257" s="26" t="s">
        <v>1225</v>
      </c>
      <c r="B257" s="9" t="s">
        <v>19</v>
      </c>
      <c r="C257" s="9" t="s">
        <v>14</v>
      </c>
      <c r="D257" s="9">
        <v>11</v>
      </c>
      <c r="E257" s="9" t="s">
        <v>29</v>
      </c>
      <c r="F257" s="9" t="s">
        <v>30</v>
      </c>
      <c r="G257" s="4">
        <v>368000</v>
      </c>
      <c r="H257" s="10">
        <f>SUMIFS(Raw_Actuals!$H:$H,Raw_Actuals!$E:$E,B257,Raw_Actuals!$F:$F,C257,Raw_Actuals!$B:$B,D257)</f>
        <v>375900</v>
      </c>
      <c r="I257" s="11">
        <f t="shared" si="12"/>
        <v>7900</v>
      </c>
      <c r="J257" s="12">
        <f t="shared" si="13"/>
        <v>2.1467391304347827E-2</v>
      </c>
      <c r="K257" s="13" t="str">
        <f t="shared" si="14"/>
        <v>🟢 On Track</v>
      </c>
      <c r="L257" s="28" t="str">
        <f t="shared" si="15"/>
        <v/>
      </c>
    </row>
    <row r="258" spans="1:12" ht="15" customHeight="1" x14ac:dyDescent="0.45">
      <c r="A258" s="27" t="s">
        <v>1226</v>
      </c>
      <c r="B258" s="14" t="s">
        <v>19</v>
      </c>
      <c r="C258" s="14" t="s">
        <v>53</v>
      </c>
      <c r="D258" s="14">
        <v>11</v>
      </c>
      <c r="E258" s="14" t="s">
        <v>29</v>
      </c>
      <c r="F258" s="14" t="s">
        <v>30</v>
      </c>
      <c r="G258" s="7">
        <v>63000</v>
      </c>
      <c r="H258" s="15">
        <f>SUMIFS(Raw_Actuals!$H:$H,Raw_Actuals!$E:$E,B258,Raw_Actuals!$F:$F,C258,Raw_Actuals!$B:$B,D258)</f>
        <v>52800</v>
      </c>
      <c r="I258" s="16">
        <f t="shared" si="12"/>
        <v>-10200</v>
      </c>
      <c r="J258" s="17">
        <f t="shared" si="13"/>
        <v>-0.16190476190476191</v>
      </c>
      <c r="K258" s="18" t="str">
        <f t="shared" si="14"/>
        <v>🟡 Under Budget</v>
      </c>
      <c r="L258" s="29" t="str">
        <f t="shared" si="15"/>
        <v>Underspend: check if deferred</v>
      </c>
    </row>
    <row r="259" spans="1:12" ht="15" customHeight="1" x14ac:dyDescent="0.45">
      <c r="A259" s="26" t="s">
        <v>1227</v>
      </c>
      <c r="B259" s="9" t="s">
        <v>19</v>
      </c>
      <c r="C259" s="9" t="s">
        <v>31</v>
      </c>
      <c r="D259" s="9">
        <v>11</v>
      </c>
      <c r="E259" s="9" t="s">
        <v>29</v>
      </c>
      <c r="F259" s="9" t="s">
        <v>30</v>
      </c>
      <c r="G259" s="4">
        <v>47000</v>
      </c>
      <c r="H259" s="10">
        <f>SUMIFS(Raw_Actuals!$H:$H,Raw_Actuals!$E:$E,B259,Raw_Actuals!$F:$F,C259,Raw_Actuals!$B:$B,D259)</f>
        <v>49500</v>
      </c>
      <c r="I259" s="11">
        <f t="shared" si="12"/>
        <v>2500</v>
      </c>
      <c r="J259" s="12">
        <f t="shared" si="13"/>
        <v>5.3191489361702128E-2</v>
      </c>
      <c r="K259" s="13" t="str">
        <f t="shared" si="14"/>
        <v>🟢 On Track</v>
      </c>
      <c r="L259" s="28" t="str">
        <f t="shared" si="15"/>
        <v/>
      </c>
    </row>
    <row r="260" spans="1:12" ht="15" customHeight="1" x14ac:dyDescent="0.45">
      <c r="A260" s="27" t="s">
        <v>1228</v>
      </c>
      <c r="B260" s="14" t="s">
        <v>19</v>
      </c>
      <c r="C260" s="14" t="s">
        <v>63</v>
      </c>
      <c r="D260" s="14">
        <v>11</v>
      </c>
      <c r="E260" s="14" t="s">
        <v>29</v>
      </c>
      <c r="F260" s="14" t="s">
        <v>30</v>
      </c>
      <c r="G260" s="7">
        <v>21000</v>
      </c>
      <c r="H260" s="15">
        <f>SUMIFS(Raw_Actuals!$H:$H,Raw_Actuals!$E:$E,B260,Raw_Actuals!$F:$F,C260,Raw_Actuals!$B:$B,D260)</f>
        <v>17300</v>
      </c>
      <c r="I260" s="16">
        <f t="shared" si="12"/>
        <v>-3700</v>
      </c>
      <c r="J260" s="17">
        <f t="shared" si="13"/>
        <v>-0.1761904761904762</v>
      </c>
      <c r="K260" s="18" t="str">
        <f t="shared" si="14"/>
        <v>🟡 Under Budget</v>
      </c>
      <c r="L260" s="29" t="str">
        <f t="shared" si="15"/>
        <v>Underspend: check if deferred</v>
      </c>
    </row>
    <row r="261" spans="1:12" ht="15" customHeight="1" x14ac:dyDescent="0.45">
      <c r="A261" s="26" t="s">
        <v>1229</v>
      </c>
      <c r="B261" s="9" t="s">
        <v>35</v>
      </c>
      <c r="C261" s="9" t="s">
        <v>14</v>
      </c>
      <c r="D261" s="9">
        <v>11</v>
      </c>
      <c r="E261" s="9" t="s">
        <v>29</v>
      </c>
      <c r="F261" s="9" t="s">
        <v>30</v>
      </c>
      <c r="G261" s="4">
        <v>304000</v>
      </c>
      <c r="H261" s="10">
        <f>SUMIFS(Raw_Actuals!$H:$H,Raw_Actuals!$E:$E,B261,Raw_Actuals!$F:$F,C261,Raw_Actuals!$B:$B,D261)</f>
        <v>274000</v>
      </c>
      <c r="I261" s="11">
        <f t="shared" ref="I261:I292" si="16">H261-G261</f>
        <v>-30000</v>
      </c>
      <c r="J261" s="12">
        <f t="shared" ref="J261:J292" si="17">IFERROR(I261/G261,0)</f>
        <v>-9.8684210526315791E-2</v>
      </c>
      <c r="K261" s="13" t="str">
        <f t="shared" ref="K261:K292" si="18">IF(J261&gt;0.15,"🔴 Over Budget",IF(J261&lt;-0.1,"🟡 Under Budget","🟢 On Track"))</f>
        <v>🟢 On Track</v>
      </c>
      <c r="L261" s="28" t="str">
        <f t="shared" ref="L261:L292" si="19">IFERROR(IF(J261&gt;0.15,"Overspend: review with dept head",IF(J261&lt;-0.1,"Underspend: check if deferred","")),"")</f>
        <v/>
      </c>
    </row>
    <row r="262" spans="1:12" ht="15" customHeight="1" x14ac:dyDescent="0.45">
      <c r="A262" s="27" t="s">
        <v>1230</v>
      </c>
      <c r="B262" s="14" t="s">
        <v>35</v>
      </c>
      <c r="C262" s="14" t="s">
        <v>105</v>
      </c>
      <c r="D262" s="14">
        <v>11</v>
      </c>
      <c r="E262" s="14" t="s">
        <v>29</v>
      </c>
      <c r="F262" s="14" t="s">
        <v>30</v>
      </c>
      <c r="G262" s="7">
        <v>42000</v>
      </c>
      <c r="H262" s="15">
        <f>SUMIFS(Raw_Actuals!$H:$H,Raw_Actuals!$E:$E,B262,Raw_Actuals!$F:$F,C262,Raw_Actuals!$B:$B,D262)</f>
        <v>34400</v>
      </c>
      <c r="I262" s="16">
        <f t="shared" si="16"/>
        <v>-7600</v>
      </c>
      <c r="J262" s="17">
        <f t="shared" si="17"/>
        <v>-0.18095238095238095</v>
      </c>
      <c r="K262" s="18" t="str">
        <f t="shared" si="18"/>
        <v>🟡 Under Budget</v>
      </c>
      <c r="L262" s="29" t="str">
        <f t="shared" si="19"/>
        <v>Underspend: check if deferred</v>
      </c>
    </row>
    <row r="263" spans="1:12" ht="15" customHeight="1" x14ac:dyDescent="0.45">
      <c r="A263" s="26" t="s">
        <v>1231</v>
      </c>
      <c r="B263" s="9" t="s">
        <v>35</v>
      </c>
      <c r="C263" s="9" t="s">
        <v>36</v>
      </c>
      <c r="D263" s="9">
        <v>11</v>
      </c>
      <c r="E263" s="9" t="s">
        <v>29</v>
      </c>
      <c r="F263" s="9" t="s">
        <v>30</v>
      </c>
      <c r="G263" s="4">
        <v>32000</v>
      </c>
      <c r="H263" s="10">
        <f>SUMIFS(Raw_Actuals!$H:$H,Raw_Actuals!$E:$E,B263,Raw_Actuals!$F:$F,C263,Raw_Actuals!$B:$B,D263)</f>
        <v>32700</v>
      </c>
      <c r="I263" s="11">
        <f t="shared" si="16"/>
        <v>700</v>
      </c>
      <c r="J263" s="12">
        <f t="shared" si="17"/>
        <v>2.1874999999999999E-2</v>
      </c>
      <c r="K263" s="13" t="str">
        <f t="shared" si="18"/>
        <v>🟢 On Track</v>
      </c>
      <c r="L263" s="28" t="str">
        <f t="shared" si="19"/>
        <v/>
      </c>
    </row>
    <row r="264" spans="1:12" ht="15" customHeight="1" x14ac:dyDescent="0.45">
      <c r="A264" s="27" t="s">
        <v>1232</v>
      </c>
      <c r="B264" s="14" t="s">
        <v>35</v>
      </c>
      <c r="C264" s="14" t="s">
        <v>75</v>
      </c>
      <c r="D264" s="14">
        <v>11</v>
      </c>
      <c r="E264" s="14" t="s">
        <v>29</v>
      </c>
      <c r="F264" s="14" t="s">
        <v>30</v>
      </c>
      <c r="G264" s="7">
        <v>16000</v>
      </c>
      <c r="H264" s="15">
        <f>SUMIFS(Raw_Actuals!$H:$H,Raw_Actuals!$E:$E,B264,Raw_Actuals!$F:$F,C264,Raw_Actuals!$B:$B,D264)</f>
        <v>14900</v>
      </c>
      <c r="I264" s="16">
        <f t="shared" si="16"/>
        <v>-1100</v>
      </c>
      <c r="J264" s="17">
        <f t="shared" si="17"/>
        <v>-6.8750000000000006E-2</v>
      </c>
      <c r="K264" s="18" t="str">
        <f t="shared" si="18"/>
        <v>🟢 On Track</v>
      </c>
      <c r="L264" s="29" t="str">
        <f t="shared" si="19"/>
        <v/>
      </c>
    </row>
    <row r="265" spans="1:12" ht="15" customHeight="1" x14ac:dyDescent="0.45">
      <c r="A265" s="26" t="s">
        <v>1233</v>
      </c>
      <c r="B265" s="9" t="s">
        <v>71</v>
      </c>
      <c r="C265" s="9" t="s">
        <v>14</v>
      </c>
      <c r="D265" s="9">
        <v>11</v>
      </c>
      <c r="E265" s="9" t="s">
        <v>29</v>
      </c>
      <c r="F265" s="9" t="s">
        <v>30</v>
      </c>
      <c r="G265" s="4">
        <v>430000</v>
      </c>
      <c r="H265" s="10">
        <f>SUMIFS(Raw_Actuals!$H:$H,Raw_Actuals!$E:$E,B265,Raw_Actuals!$F:$F,C265,Raw_Actuals!$B:$B,D265)</f>
        <v>400700</v>
      </c>
      <c r="I265" s="11">
        <f t="shared" si="16"/>
        <v>-29300</v>
      </c>
      <c r="J265" s="12">
        <f t="shared" si="17"/>
        <v>-6.8139534883720931E-2</v>
      </c>
      <c r="K265" s="13" t="str">
        <f t="shared" si="18"/>
        <v>🟢 On Track</v>
      </c>
      <c r="L265" s="28" t="str">
        <f t="shared" si="19"/>
        <v/>
      </c>
    </row>
    <row r="266" spans="1:12" ht="15" customHeight="1" x14ac:dyDescent="0.45">
      <c r="A266" s="27" t="s">
        <v>1234</v>
      </c>
      <c r="B266" s="14" t="s">
        <v>71</v>
      </c>
      <c r="C266" s="14" t="s">
        <v>88</v>
      </c>
      <c r="D266" s="14">
        <v>11</v>
      </c>
      <c r="E266" s="14" t="s">
        <v>29</v>
      </c>
      <c r="F266" s="14" t="s">
        <v>30</v>
      </c>
      <c r="G266" s="7">
        <v>210000</v>
      </c>
      <c r="H266" s="15">
        <f>SUMIFS(Raw_Actuals!$H:$H,Raw_Actuals!$E:$E,B266,Raw_Actuals!$F:$F,C266,Raw_Actuals!$B:$B,D266)</f>
        <v>176100</v>
      </c>
      <c r="I266" s="16">
        <f t="shared" si="16"/>
        <v>-33900</v>
      </c>
      <c r="J266" s="17">
        <f t="shared" si="17"/>
        <v>-0.16142857142857142</v>
      </c>
      <c r="K266" s="18" t="str">
        <f t="shared" si="18"/>
        <v>🟡 Under Budget</v>
      </c>
      <c r="L266" s="29" t="str">
        <f t="shared" si="19"/>
        <v>Underspend: check if deferred</v>
      </c>
    </row>
    <row r="267" spans="1:12" ht="15" customHeight="1" x14ac:dyDescent="0.45">
      <c r="A267" s="26" t="s">
        <v>1235</v>
      </c>
      <c r="B267" s="9" t="s">
        <v>71</v>
      </c>
      <c r="C267" s="9" t="s">
        <v>63</v>
      </c>
      <c r="D267" s="9">
        <v>11</v>
      </c>
      <c r="E267" s="9" t="s">
        <v>29</v>
      </c>
      <c r="F267" s="9" t="s">
        <v>30</v>
      </c>
      <c r="G267" s="4">
        <v>58000</v>
      </c>
      <c r="H267" s="10">
        <f>SUMIFS(Raw_Actuals!$H:$H,Raw_Actuals!$E:$E,B267,Raw_Actuals!$F:$F,C267,Raw_Actuals!$B:$B,D267)</f>
        <v>49500</v>
      </c>
      <c r="I267" s="11">
        <f t="shared" si="16"/>
        <v>-8500</v>
      </c>
      <c r="J267" s="12">
        <f t="shared" si="17"/>
        <v>-0.14655172413793102</v>
      </c>
      <c r="K267" s="13" t="str">
        <f t="shared" si="18"/>
        <v>🟡 Under Budget</v>
      </c>
      <c r="L267" s="28" t="str">
        <f t="shared" si="19"/>
        <v>Underspend: check if deferred</v>
      </c>
    </row>
    <row r="268" spans="1:12" ht="15" customHeight="1" x14ac:dyDescent="0.45">
      <c r="A268" s="27" t="s">
        <v>1236</v>
      </c>
      <c r="B268" s="14" t="s">
        <v>71</v>
      </c>
      <c r="C268" s="14" t="s">
        <v>94</v>
      </c>
      <c r="D268" s="14">
        <v>11</v>
      </c>
      <c r="E268" s="14" t="s">
        <v>29</v>
      </c>
      <c r="F268" s="14" t="s">
        <v>30</v>
      </c>
      <c r="G268" s="7">
        <v>32000</v>
      </c>
      <c r="H268" s="15">
        <f>SUMIFS(Raw_Actuals!$H:$H,Raw_Actuals!$E:$E,B268,Raw_Actuals!$F:$F,C268,Raw_Actuals!$B:$B,D268)</f>
        <v>28000</v>
      </c>
      <c r="I268" s="16">
        <f t="shared" si="16"/>
        <v>-4000</v>
      </c>
      <c r="J268" s="17">
        <f t="shared" si="17"/>
        <v>-0.125</v>
      </c>
      <c r="K268" s="18" t="str">
        <f t="shared" si="18"/>
        <v>🟡 Under Budget</v>
      </c>
      <c r="L268" s="29" t="str">
        <f t="shared" si="19"/>
        <v>Underspend: check if deferred</v>
      </c>
    </row>
    <row r="269" spans="1:12" ht="15" customHeight="1" x14ac:dyDescent="0.45">
      <c r="A269" s="26" t="s">
        <v>1237</v>
      </c>
      <c r="B269" s="9" t="s">
        <v>57</v>
      </c>
      <c r="C269" s="9" t="s">
        <v>14</v>
      </c>
      <c r="D269" s="9">
        <v>12</v>
      </c>
      <c r="E269" s="9" t="s">
        <v>34</v>
      </c>
      <c r="F269" s="9" t="s">
        <v>30</v>
      </c>
      <c r="G269" s="4">
        <v>504000</v>
      </c>
      <c r="H269" s="10">
        <f>SUMIFS(Raw_Actuals!$H:$H,Raw_Actuals!$E:$E,B269,Raw_Actuals!$F:$F,C269,Raw_Actuals!$B:$B,D269)</f>
        <v>402700</v>
      </c>
      <c r="I269" s="11">
        <f t="shared" si="16"/>
        <v>-101300</v>
      </c>
      <c r="J269" s="12">
        <f t="shared" si="17"/>
        <v>-0.2009920634920635</v>
      </c>
      <c r="K269" s="13" t="str">
        <f t="shared" si="18"/>
        <v>🟡 Under Budget</v>
      </c>
      <c r="L269" s="28" t="str">
        <f t="shared" si="19"/>
        <v>Underspend: check if deferred</v>
      </c>
    </row>
    <row r="270" spans="1:12" ht="15" customHeight="1" x14ac:dyDescent="0.45">
      <c r="A270" s="27" t="s">
        <v>1238</v>
      </c>
      <c r="B270" s="14" t="s">
        <v>57</v>
      </c>
      <c r="C270" s="14" t="s">
        <v>75</v>
      </c>
      <c r="D270" s="14">
        <v>12</v>
      </c>
      <c r="E270" s="14" t="s">
        <v>34</v>
      </c>
      <c r="F270" s="14" t="s">
        <v>30</v>
      </c>
      <c r="G270" s="7">
        <v>42000</v>
      </c>
      <c r="H270" s="15">
        <f>SUMIFS(Raw_Actuals!$H:$H,Raw_Actuals!$E:$E,B270,Raw_Actuals!$F:$F,C270,Raw_Actuals!$B:$B,D270)</f>
        <v>31100</v>
      </c>
      <c r="I270" s="16">
        <f t="shared" si="16"/>
        <v>-10900</v>
      </c>
      <c r="J270" s="17">
        <f t="shared" si="17"/>
        <v>-0.25952380952380955</v>
      </c>
      <c r="K270" s="18" t="str">
        <f t="shared" si="18"/>
        <v>🟡 Under Budget</v>
      </c>
      <c r="L270" s="29" t="str">
        <f t="shared" si="19"/>
        <v>Underspend: check if deferred</v>
      </c>
    </row>
    <row r="271" spans="1:12" ht="15" customHeight="1" x14ac:dyDescent="0.45">
      <c r="A271" s="26" t="s">
        <v>1239</v>
      </c>
      <c r="B271" s="9" t="s">
        <v>57</v>
      </c>
      <c r="C271" s="9" t="s">
        <v>85</v>
      </c>
      <c r="D271" s="9">
        <v>12</v>
      </c>
      <c r="E271" s="9" t="s">
        <v>34</v>
      </c>
      <c r="F271" s="9" t="s">
        <v>30</v>
      </c>
      <c r="G271" s="4">
        <v>66000</v>
      </c>
      <c r="H271" s="10">
        <f>SUMIFS(Raw_Actuals!$H:$H,Raw_Actuals!$E:$E,B271,Raw_Actuals!$F:$F,C271,Raw_Actuals!$B:$B,D271)</f>
        <v>53000</v>
      </c>
      <c r="I271" s="11">
        <f t="shared" si="16"/>
        <v>-13000</v>
      </c>
      <c r="J271" s="12">
        <f t="shared" si="17"/>
        <v>-0.19696969696969696</v>
      </c>
      <c r="K271" s="13" t="str">
        <f t="shared" si="18"/>
        <v>🟡 Under Budget</v>
      </c>
      <c r="L271" s="28" t="str">
        <f t="shared" si="19"/>
        <v>Underspend: check if deferred</v>
      </c>
    </row>
    <row r="272" spans="1:12" ht="15" customHeight="1" x14ac:dyDescent="0.45">
      <c r="A272" s="27" t="s">
        <v>1240</v>
      </c>
      <c r="B272" s="14" t="s">
        <v>57</v>
      </c>
      <c r="C272" s="14" t="s">
        <v>63</v>
      </c>
      <c r="D272" s="14">
        <v>12</v>
      </c>
      <c r="E272" s="14" t="s">
        <v>34</v>
      </c>
      <c r="F272" s="14" t="s">
        <v>30</v>
      </c>
      <c r="G272" s="7">
        <v>22000</v>
      </c>
      <c r="H272" s="15">
        <f>SUMIFS(Raw_Actuals!$H:$H,Raw_Actuals!$E:$E,B272,Raw_Actuals!$F:$F,C272,Raw_Actuals!$B:$B,D272)</f>
        <v>18400</v>
      </c>
      <c r="I272" s="16">
        <f t="shared" si="16"/>
        <v>-3600</v>
      </c>
      <c r="J272" s="17">
        <f t="shared" si="17"/>
        <v>-0.16363636363636364</v>
      </c>
      <c r="K272" s="18" t="str">
        <f t="shared" si="18"/>
        <v>🟡 Under Budget</v>
      </c>
      <c r="L272" s="29" t="str">
        <f t="shared" si="19"/>
        <v>Underspend: check if deferred</v>
      </c>
    </row>
    <row r="273" spans="1:12" ht="15" customHeight="1" x14ac:dyDescent="0.45">
      <c r="A273" s="26" t="s">
        <v>1241</v>
      </c>
      <c r="B273" s="9" t="s">
        <v>13</v>
      </c>
      <c r="C273" s="9" t="s">
        <v>14</v>
      </c>
      <c r="D273" s="9">
        <v>12</v>
      </c>
      <c r="E273" s="9" t="s">
        <v>34</v>
      </c>
      <c r="F273" s="9" t="s">
        <v>30</v>
      </c>
      <c r="G273" s="4">
        <v>456000</v>
      </c>
      <c r="H273" s="10">
        <f>SUMIFS(Raw_Actuals!$H:$H,Raw_Actuals!$E:$E,B273,Raw_Actuals!$F:$F,C273,Raw_Actuals!$B:$B,D273)</f>
        <v>379800</v>
      </c>
      <c r="I273" s="11">
        <f t="shared" si="16"/>
        <v>-76200</v>
      </c>
      <c r="J273" s="12">
        <f t="shared" si="17"/>
        <v>-0.16710526315789473</v>
      </c>
      <c r="K273" s="13" t="str">
        <f t="shared" si="18"/>
        <v>🟡 Under Budget</v>
      </c>
      <c r="L273" s="28" t="str">
        <f t="shared" si="19"/>
        <v>Underspend: check if deferred</v>
      </c>
    </row>
    <row r="274" spans="1:12" ht="15" customHeight="1" x14ac:dyDescent="0.45">
      <c r="A274" s="27" t="s">
        <v>1242</v>
      </c>
      <c r="B274" s="14" t="s">
        <v>13</v>
      </c>
      <c r="C274" s="14" t="s">
        <v>102</v>
      </c>
      <c r="D274" s="14">
        <v>12</v>
      </c>
      <c r="E274" s="14" t="s">
        <v>34</v>
      </c>
      <c r="F274" s="14" t="s">
        <v>30</v>
      </c>
      <c r="G274" s="7">
        <v>180000</v>
      </c>
      <c r="H274" s="15">
        <f>SUMIFS(Raw_Actuals!$H:$H,Raw_Actuals!$E:$E,B274,Raw_Actuals!$F:$F,C274,Raw_Actuals!$B:$B,D274)</f>
        <v>137200</v>
      </c>
      <c r="I274" s="16">
        <f t="shared" si="16"/>
        <v>-42800</v>
      </c>
      <c r="J274" s="17">
        <f t="shared" si="17"/>
        <v>-0.23777777777777778</v>
      </c>
      <c r="K274" s="18" t="str">
        <f t="shared" si="18"/>
        <v>🟡 Under Budget</v>
      </c>
      <c r="L274" s="29" t="str">
        <f t="shared" si="19"/>
        <v>Underspend: check if deferred</v>
      </c>
    </row>
    <row r="275" spans="1:12" ht="15" customHeight="1" x14ac:dyDescent="0.45">
      <c r="A275" s="26" t="s">
        <v>1243</v>
      </c>
      <c r="B275" s="9" t="s">
        <v>13</v>
      </c>
      <c r="C275" s="9" t="s">
        <v>50</v>
      </c>
      <c r="D275" s="9">
        <v>12</v>
      </c>
      <c r="E275" s="9" t="s">
        <v>34</v>
      </c>
      <c r="F275" s="9" t="s">
        <v>30</v>
      </c>
      <c r="G275" s="4">
        <v>84000</v>
      </c>
      <c r="H275" s="10">
        <f>SUMIFS(Raw_Actuals!$H:$H,Raw_Actuals!$E:$E,B275,Raw_Actuals!$F:$F,C275,Raw_Actuals!$B:$B,D275)</f>
        <v>63100</v>
      </c>
      <c r="I275" s="11">
        <f t="shared" si="16"/>
        <v>-20900</v>
      </c>
      <c r="J275" s="12">
        <f t="shared" si="17"/>
        <v>-0.24880952380952381</v>
      </c>
      <c r="K275" s="13" t="str">
        <f t="shared" si="18"/>
        <v>🟡 Under Budget</v>
      </c>
      <c r="L275" s="28" t="str">
        <f t="shared" si="19"/>
        <v>Underspend: check if deferred</v>
      </c>
    </row>
    <row r="276" spans="1:12" ht="15" customHeight="1" x14ac:dyDescent="0.45">
      <c r="A276" s="27" t="s">
        <v>1244</v>
      </c>
      <c r="B276" s="14" t="s">
        <v>13</v>
      </c>
      <c r="C276" s="14" t="s">
        <v>63</v>
      </c>
      <c r="D276" s="14">
        <v>12</v>
      </c>
      <c r="E276" s="14" t="s">
        <v>34</v>
      </c>
      <c r="F276" s="14" t="s">
        <v>30</v>
      </c>
      <c r="G276" s="7">
        <v>30000</v>
      </c>
      <c r="H276" s="15">
        <f>SUMIFS(Raw_Actuals!$H:$H,Raw_Actuals!$E:$E,B276,Raw_Actuals!$F:$F,C276,Raw_Actuals!$B:$B,D276)</f>
        <v>21700</v>
      </c>
      <c r="I276" s="16">
        <f t="shared" si="16"/>
        <v>-8300</v>
      </c>
      <c r="J276" s="17">
        <f t="shared" si="17"/>
        <v>-0.27666666666666667</v>
      </c>
      <c r="K276" s="18" t="str">
        <f t="shared" si="18"/>
        <v>🟡 Under Budget</v>
      </c>
      <c r="L276" s="29" t="str">
        <f t="shared" si="19"/>
        <v>Underspend: check if deferred</v>
      </c>
    </row>
    <row r="277" spans="1:12" ht="15" customHeight="1" x14ac:dyDescent="0.45">
      <c r="A277" s="26" t="s">
        <v>1245</v>
      </c>
      <c r="B277" s="9" t="s">
        <v>24</v>
      </c>
      <c r="C277" s="9" t="s">
        <v>14</v>
      </c>
      <c r="D277" s="9">
        <v>12</v>
      </c>
      <c r="E277" s="9" t="s">
        <v>34</v>
      </c>
      <c r="F277" s="9" t="s">
        <v>30</v>
      </c>
      <c r="G277" s="4">
        <v>600000</v>
      </c>
      <c r="H277" s="10">
        <f>SUMIFS(Raw_Actuals!$H:$H,Raw_Actuals!$E:$E,B277,Raw_Actuals!$F:$F,C277,Raw_Actuals!$B:$B,D277)</f>
        <v>544000</v>
      </c>
      <c r="I277" s="11">
        <f t="shared" si="16"/>
        <v>-56000</v>
      </c>
      <c r="J277" s="12">
        <f t="shared" si="17"/>
        <v>-9.3333333333333338E-2</v>
      </c>
      <c r="K277" s="13" t="str">
        <f t="shared" si="18"/>
        <v>🟢 On Track</v>
      </c>
      <c r="L277" s="28" t="str">
        <f t="shared" si="19"/>
        <v/>
      </c>
    </row>
    <row r="278" spans="1:12" ht="15" customHeight="1" x14ac:dyDescent="0.45">
      <c r="A278" s="27" t="s">
        <v>1246</v>
      </c>
      <c r="B278" s="14" t="s">
        <v>24</v>
      </c>
      <c r="C278" s="14" t="s">
        <v>36</v>
      </c>
      <c r="D278" s="14">
        <v>12</v>
      </c>
      <c r="E278" s="14" t="s">
        <v>34</v>
      </c>
      <c r="F278" s="14" t="s">
        <v>30</v>
      </c>
      <c r="G278" s="7">
        <v>108000</v>
      </c>
      <c r="H278" s="15">
        <f>SUMIFS(Raw_Actuals!$H:$H,Raw_Actuals!$E:$E,B278,Raw_Actuals!$F:$F,C278,Raw_Actuals!$B:$B,D278)</f>
        <v>91500</v>
      </c>
      <c r="I278" s="16">
        <f t="shared" si="16"/>
        <v>-16500</v>
      </c>
      <c r="J278" s="17">
        <f t="shared" si="17"/>
        <v>-0.15277777777777779</v>
      </c>
      <c r="K278" s="18" t="str">
        <f t="shared" si="18"/>
        <v>🟡 Under Budget</v>
      </c>
      <c r="L278" s="29" t="str">
        <f t="shared" si="19"/>
        <v>Underspend: check if deferred</v>
      </c>
    </row>
    <row r="279" spans="1:12" ht="15" customHeight="1" x14ac:dyDescent="0.45">
      <c r="A279" s="26" t="s">
        <v>1247</v>
      </c>
      <c r="B279" s="9" t="s">
        <v>24</v>
      </c>
      <c r="C279" s="9" t="s">
        <v>25</v>
      </c>
      <c r="D279" s="9">
        <v>12</v>
      </c>
      <c r="E279" s="9" t="s">
        <v>34</v>
      </c>
      <c r="F279" s="9" t="s">
        <v>30</v>
      </c>
      <c r="G279" s="4">
        <v>96000</v>
      </c>
      <c r="H279" s="10">
        <f>SUMIFS(Raw_Actuals!$H:$H,Raw_Actuals!$E:$E,B279,Raw_Actuals!$F:$F,C279,Raw_Actuals!$B:$B,D279)</f>
        <v>69500</v>
      </c>
      <c r="I279" s="11">
        <f t="shared" si="16"/>
        <v>-26500</v>
      </c>
      <c r="J279" s="12">
        <f t="shared" si="17"/>
        <v>-0.27604166666666669</v>
      </c>
      <c r="K279" s="13" t="str">
        <f t="shared" si="18"/>
        <v>🟡 Under Budget</v>
      </c>
      <c r="L279" s="28" t="str">
        <f t="shared" si="19"/>
        <v>Underspend: check if deferred</v>
      </c>
    </row>
    <row r="280" spans="1:12" ht="15" customHeight="1" x14ac:dyDescent="0.45">
      <c r="A280" s="27" t="s">
        <v>1248</v>
      </c>
      <c r="B280" s="14" t="s">
        <v>24</v>
      </c>
      <c r="C280" s="14" t="s">
        <v>44</v>
      </c>
      <c r="D280" s="14">
        <v>12</v>
      </c>
      <c r="E280" s="14" t="s">
        <v>34</v>
      </c>
      <c r="F280" s="14" t="s">
        <v>30</v>
      </c>
      <c r="G280" s="7">
        <v>132000</v>
      </c>
      <c r="H280" s="15">
        <f>SUMIFS(Raw_Actuals!$H:$H,Raw_Actuals!$E:$E,B280,Raw_Actuals!$F:$F,C280,Raw_Actuals!$B:$B,D280)</f>
        <v>120600</v>
      </c>
      <c r="I280" s="16">
        <f t="shared" si="16"/>
        <v>-11400</v>
      </c>
      <c r="J280" s="17">
        <f t="shared" si="17"/>
        <v>-8.6363636363636365E-2</v>
      </c>
      <c r="K280" s="18" t="str">
        <f t="shared" si="18"/>
        <v>🟢 On Track</v>
      </c>
      <c r="L280" s="29" t="str">
        <f t="shared" si="19"/>
        <v/>
      </c>
    </row>
    <row r="281" spans="1:12" ht="15" customHeight="1" x14ac:dyDescent="0.45">
      <c r="A281" s="26" t="s">
        <v>1249</v>
      </c>
      <c r="B281" s="9" t="s">
        <v>19</v>
      </c>
      <c r="C281" s="9" t="s">
        <v>14</v>
      </c>
      <c r="D281" s="9">
        <v>12</v>
      </c>
      <c r="E281" s="9" t="s">
        <v>34</v>
      </c>
      <c r="F281" s="9" t="s">
        <v>30</v>
      </c>
      <c r="G281" s="4">
        <v>420000</v>
      </c>
      <c r="H281" s="10">
        <f>SUMIFS(Raw_Actuals!$H:$H,Raw_Actuals!$E:$E,B281,Raw_Actuals!$F:$F,C281,Raw_Actuals!$B:$B,D281)</f>
        <v>305400</v>
      </c>
      <c r="I281" s="11">
        <f t="shared" si="16"/>
        <v>-114600</v>
      </c>
      <c r="J281" s="12">
        <f t="shared" si="17"/>
        <v>-0.27285714285714285</v>
      </c>
      <c r="K281" s="13" t="str">
        <f t="shared" si="18"/>
        <v>🟡 Under Budget</v>
      </c>
      <c r="L281" s="28" t="str">
        <f t="shared" si="19"/>
        <v>Underspend: check if deferred</v>
      </c>
    </row>
    <row r="282" spans="1:12" ht="15" customHeight="1" x14ac:dyDescent="0.45">
      <c r="A282" s="27" t="s">
        <v>1250</v>
      </c>
      <c r="B282" s="14" t="s">
        <v>19</v>
      </c>
      <c r="C282" s="14" t="s">
        <v>53</v>
      </c>
      <c r="D282" s="14">
        <v>12</v>
      </c>
      <c r="E282" s="14" t="s">
        <v>34</v>
      </c>
      <c r="F282" s="14" t="s">
        <v>30</v>
      </c>
      <c r="G282" s="7">
        <v>72000</v>
      </c>
      <c r="H282" s="15">
        <f>SUMIFS(Raw_Actuals!$H:$H,Raw_Actuals!$E:$E,B282,Raw_Actuals!$F:$F,C282,Raw_Actuals!$B:$B,D282)</f>
        <v>54300</v>
      </c>
      <c r="I282" s="16">
        <f t="shared" si="16"/>
        <v>-17700</v>
      </c>
      <c r="J282" s="17">
        <f t="shared" si="17"/>
        <v>-0.24583333333333332</v>
      </c>
      <c r="K282" s="18" t="str">
        <f t="shared" si="18"/>
        <v>🟡 Under Budget</v>
      </c>
      <c r="L282" s="29" t="str">
        <f t="shared" si="19"/>
        <v>Underspend: check if deferred</v>
      </c>
    </row>
    <row r="283" spans="1:12" ht="15" customHeight="1" x14ac:dyDescent="0.45">
      <c r="A283" s="26" t="s">
        <v>1251</v>
      </c>
      <c r="B283" s="9" t="s">
        <v>19</v>
      </c>
      <c r="C283" s="9" t="s">
        <v>31</v>
      </c>
      <c r="D283" s="9">
        <v>12</v>
      </c>
      <c r="E283" s="9" t="s">
        <v>34</v>
      </c>
      <c r="F283" s="9" t="s">
        <v>30</v>
      </c>
      <c r="G283" s="4">
        <v>54000</v>
      </c>
      <c r="H283" s="10">
        <f>SUMIFS(Raw_Actuals!$H:$H,Raw_Actuals!$E:$E,B283,Raw_Actuals!$F:$F,C283,Raw_Actuals!$B:$B,D283)</f>
        <v>45100</v>
      </c>
      <c r="I283" s="11">
        <f t="shared" si="16"/>
        <v>-8900</v>
      </c>
      <c r="J283" s="12">
        <f t="shared" si="17"/>
        <v>-0.1648148148148148</v>
      </c>
      <c r="K283" s="13" t="str">
        <f t="shared" si="18"/>
        <v>🟡 Under Budget</v>
      </c>
      <c r="L283" s="28" t="str">
        <f t="shared" si="19"/>
        <v>Underspend: check if deferred</v>
      </c>
    </row>
    <row r="284" spans="1:12" ht="15" customHeight="1" x14ac:dyDescent="0.45">
      <c r="A284" s="27" t="s">
        <v>1252</v>
      </c>
      <c r="B284" s="14" t="s">
        <v>19</v>
      </c>
      <c r="C284" s="14" t="s">
        <v>63</v>
      </c>
      <c r="D284" s="14">
        <v>12</v>
      </c>
      <c r="E284" s="14" t="s">
        <v>34</v>
      </c>
      <c r="F284" s="14" t="s">
        <v>30</v>
      </c>
      <c r="G284" s="7">
        <v>24000</v>
      </c>
      <c r="H284" s="15">
        <f>SUMIFS(Raw_Actuals!$H:$H,Raw_Actuals!$E:$E,B284,Raw_Actuals!$F:$F,C284,Raw_Actuals!$B:$B,D284)</f>
        <v>22700</v>
      </c>
      <c r="I284" s="16">
        <f t="shared" si="16"/>
        <v>-1300</v>
      </c>
      <c r="J284" s="17">
        <f t="shared" si="17"/>
        <v>-5.4166666666666669E-2</v>
      </c>
      <c r="K284" s="18" t="str">
        <f t="shared" si="18"/>
        <v>🟢 On Track</v>
      </c>
      <c r="L284" s="29" t="str">
        <f t="shared" si="19"/>
        <v/>
      </c>
    </row>
    <row r="285" spans="1:12" ht="15" customHeight="1" x14ac:dyDescent="0.45">
      <c r="A285" s="26" t="s">
        <v>1253</v>
      </c>
      <c r="B285" s="9" t="s">
        <v>35</v>
      </c>
      <c r="C285" s="9" t="s">
        <v>14</v>
      </c>
      <c r="D285" s="9">
        <v>12</v>
      </c>
      <c r="E285" s="9" t="s">
        <v>34</v>
      </c>
      <c r="F285" s="9" t="s">
        <v>30</v>
      </c>
      <c r="G285" s="4">
        <v>348000</v>
      </c>
      <c r="H285" s="10">
        <f>SUMIFS(Raw_Actuals!$H:$H,Raw_Actuals!$E:$E,B285,Raw_Actuals!$F:$F,C285,Raw_Actuals!$B:$B,D285)</f>
        <v>300900</v>
      </c>
      <c r="I285" s="11">
        <f t="shared" si="16"/>
        <v>-47100</v>
      </c>
      <c r="J285" s="12">
        <f t="shared" si="17"/>
        <v>-0.13534482758620689</v>
      </c>
      <c r="K285" s="13" t="str">
        <f t="shared" si="18"/>
        <v>🟡 Under Budget</v>
      </c>
      <c r="L285" s="28" t="str">
        <f t="shared" si="19"/>
        <v>Underspend: check if deferred</v>
      </c>
    </row>
    <row r="286" spans="1:12" ht="15" customHeight="1" x14ac:dyDescent="0.45">
      <c r="A286" s="27" t="s">
        <v>1254</v>
      </c>
      <c r="B286" s="14" t="s">
        <v>35</v>
      </c>
      <c r="C286" s="14" t="s">
        <v>105</v>
      </c>
      <c r="D286" s="14">
        <v>12</v>
      </c>
      <c r="E286" s="14" t="s">
        <v>34</v>
      </c>
      <c r="F286" s="14" t="s">
        <v>30</v>
      </c>
      <c r="G286" s="7">
        <v>48000</v>
      </c>
      <c r="H286" s="15">
        <f>SUMIFS(Raw_Actuals!$H:$H,Raw_Actuals!$E:$E,B286,Raw_Actuals!$F:$F,C286,Raw_Actuals!$B:$B,D286)</f>
        <v>76000</v>
      </c>
      <c r="I286" s="16">
        <f t="shared" si="16"/>
        <v>28000</v>
      </c>
      <c r="J286" s="17">
        <f t="shared" si="17"/>
        <v>0.58333333333333337</v>
      </c>
      <c r="K286" s="18" t="str">
        <f t="shared" si="18"/>
        <v>🔴 Over Budget</v>
      </c>
      <c r="L286" s="29" t="str">
        <f t="shared" si="19"/>
        <v>Overspend: review with dept head</v>
      </c>
    </row>
    <row r="287" spans="1:12" ht="15" customHeight="1" x14ac:dyDescent="0.45">
      <c r="A287" s="26" t="s">
        <v>1255</v>
      </c>
      <c r="B287" s="9" t="s">
        <v>35</v>
      </c>
      <c r="C287" s="9" t="s">
        <v>36</v>
      </c>
      <c r="D287" s="9">
        <v>12</v>
      </c>
      <c r="E287" s="9" t="s">
        <v>34</v>
      </c>
      <c r="F287" s="9" t="s">
        <v>30</v>
      </c>
      <c r="G287" s="4">
        <v>36000</v>
      </c>
      <c r="H287" s="10">
        <f>SUMIFS(Raw_Actuals!$H:$H,Raw_Actuals!$E:$E,B287,Raw_Actuals!$F:$F,C287,Raw_Actuals!$B:$B,D287)</f>
        <v>32500</v>
      </c>
      <c r="I287" s="11">
        <f t="shared" si="16"/>
        <v>-3500</v>
      </c>
      <c r="J287" s="12">
        <f t="shared" si="17"/>
        <v>-9.7222222222222224E-2</v>
      </c>
      <c r="K287" s="13" t="str">
        <f t="shared" si="18"/>
        <v>🟢 On Track</v>
      </c>
      <c r="L287" s="28" t="str">
        <f t="shared" si="19"/>
        <v/>
      </c>
    </row>
    <row r="288" spans="1:12" ht="15" customHeight="1" x14ac:dyDescent="0.45">
      <c r="A288" s="27" t="s">
        <v>1256</v>
      </c>
      <c r="B288" s="14" t="s">
        <v>35</v>
      </c>
      <c r="C288" s="14" t="s">
        <v>75</v>
      </c>
      <c r="D288" s="14">
        <v>12</v>
      </c>
      <c r="E288" s="14" t="s">
        <v>34</v>
      </c>
      <c r="F288" s="14" t="s">
        <v>30</v>
      </c>
      <c r="G288" s="7">
        <v>18000</v>
      </c>
      <c r="H288" s="15">
        <f>SUMIFS(Raw_Actuals!$H:$H,Raw_Actuals!$E:$E,B288,Raw_Actuals!$F:$F,C288,Raw_Actuals!$B:$B,D288)</f>
        <v>12800</v>
      </c>
      <c r="I288" s="16">
        <f t="shared" si="16"/>
        <v>-5200</v>
      </c>
      <c r="J288" s="17">
        <f t="shared" si="17"/>
        <v>-0.28888888888888886</v>
      </c>
      <c r="K288" s="18" t="str">
        <f t="shared" si="18"/>
        <v>🟡 Under Budget</v>
      </c>
      <c r="L288" s="29" t="str">
        <f t="shared" si="19"/>
        <v>Underspend: check if deferred</v>
      </c>
    </row>
    <row r="289" spans="1:12" ht="15" customHeight="1" x14ac:dyDescent="0.45">
      <c r="A289" s="26" t="s">
        <v>1257</v>
      </c>
      <c r="B289" s="9" t="s">
        <v>71</v>
      </c>
      <c r="C289" s="9" t="s">
        <v>14</v>
      </c>
      <c r="D289" s="9">
        <v>12</v>
      </c>
      <c r="E289" s="9" t="s">
        <v>34</v>
      </c>
      <c r="F289" s="9" t="s">
        <v>30</v>
      </c>
      <c r="G289" s="4">
        <v>492000</v>
      </c>
      <c r="H289" s="10">
        <f>SUMIFS(Raw_Actuals!$H:$H,Raw_Actuals!$E:$E,B289,Raw_Actuals!$F:$F,C289,Raw_Actuals!$B:$B,D289)</f>
        <v>404200</v>
      </c>
      <c r="I289" s="11">
        <f t="shared" si="16"/>
        <v>-87800</v>
      </c>
      <c r="J289" s="12">
        <f t="shared" si="17"/>
        <v>-0.17845528455284554</v>
      </c>
      <c r="K289" s="13" t="str">
        <f t="shared" si="18"/>
        <v>🟡 Under Budget</v>
      </c>
      <c r="L289" s="28" t="str">
        <f t="shared" si="19"/>
        <v>Underspend: check if deferred</v>
      </c>
    </row>
    <row r="290" spans="1:12" ht="15" customHeight="1" x14ac:dyDescent="0.45">
      <c r="A290" s="27" t="s">
        <v>1258</v>
      </c>
      <c r="B290" s="14" t="s">
        <v>71</v>
      </c>
      <c r="C290" s="14" t="s">
        <v>88</v>
      </c>
      <c r="D290" s="14">
        <v>12</v>
      </c>
      <c r="E290" s="14" t="s">
        <v>34</v>
      </c>
      <c r="F290" s="14" t="s">
        <v>30</v>
      </c>
      <c r="G290" s="7">
        <v>240000</v>
      </c>
      <c r="H290" s="15">
        <f>SUMIFS(Raw_Actuals!$H:$H,Raw_Actuals!$E:$E,B290,Raw_Actuals!$F:$F,C290,Raw_Actuals!$B:$B,D290)</f>
        <v>188800</v>
      </c>
      <c r="I290" s="16">
        <f t="shared" si="16"/>
        <v>-51200</v>
      </c>
      <c r="J290" s="17">
        <f t="shared" si="17"/>
        <v>-0.21333333333333335</v>
      </c>
      <c r="K290" s="18" t="str">
        <f t="shared" si="18"/>
        <v>🟡 Under Budget</v>
      </c>
      <c r="L290" s="29" t="str">
        <f t="shared" si="19"/>
        <v>Underspend: check if deferred</v>
      </c>
    </row>
    <row r="291" spans="1:12" ht="15" customHeight="1" x14ac:dyDescent="0.45">
      <c r="A291" s="26" t="s">
        <v>1259</v>
      </c>
      <c r="B291" s="9" t="s">
        <v>71</v>
      </c>
      <c r="C291" s="9" t="s">
        <v>63</v>
      </c>
      <c r="D291" s="9">
        <v>12</v>
      </c>
      <c r="E291" s="9" t="s">
        <v>34</v>
      </c>
      <c r="F291" s="9" t="s">
        <v>30</v>
      </c>
      <c r="G291" s="4">
        <v>66000</v>
      </c>
      <c r="H291" s="10">
        <f>SUMIFS(Raw_Actuals!$H:$H,Raw_Actuals!$E:$E,B291,Raw_Actuals!$F:$F,C291,Raw_Actuals!$B:$B,D291)</f>
        <v>56100</v>
      </c>
      <c r="I291" s="11">
        <f t="shared" si="16"/>
        <v>-9900</v>
      </c>
      <c r="J291" s="12">
        <f t="shared" si="17"/>
        <v>-0.15</v>
      </c>
      <c r="K291" s="13" t="str">
        <f t="shared" si="18"/>
        <v>🟡 Under Budget</v>
      </c>
      <c r="L291" s="28" t="str">
        <f t="shared" si="19"/>
        <v>Underspend: check if deferred</v>
      </c>
    </row>
    <row r="292" spans="1:12" ht="15" customHeight="1" x14ac:dyDescent="0.45">
      <c r="A292" s="35" t="s">
        <v>1260</v>
      </c>
      <c r="B292" s="36" t="s">
        <v>71</v>
      </c>
      <c r="C292" s="36" t="s">
        <v>94</v>
      </c>
      <c r="D292" s="36">
        <v>12</v>
      </c>
      <c r="E292" s="36" t="s">
        <v>34</v>
      </c>
      <c r="F292" s="36" t="s">
        <v>30</v>
      </c>
      <c r="G292" s="37">
        <v>36000</v>
      </c>
      <c r="H292" s="38">
        <f>SUMIFS(Raw_Actuals!$H:$H,Raw_Actuals!$E:$E,B292,Raw_Actuals!$F:$F,C292,Raw_Actuals!$B:$B,D292)</f>
        <v>26300</v>
      </c>
      <c r="I292" s="39">
        <f t="shared" si="16"/>
        <v>-9700</v>
      </c>
      <c r="J292" s="40">
        <f t="shared" si="17"/>
        <v>-0.26944444444444443</v>
      </c>
      <c r="K292" s="41" t="str">
        <f t="shared" si="18"/>
        <v>🟡 Under Budget</v>
      </c>
      <c r="L292" s="42" t="str">
        <f t="shared" si="19"/>
        <v>Underspend: check if deferred</v>
      </c>
    </row>
  </sheetData>
  <mergeCells count="2">
    <mergeCell ref="A1:L1"/>
    <mergeCell ref="A2:L2"/>
  </mergeCells>
  <conditionalFormatting sqref="H5:H292">
    <cfRule type="dataBar" priority="5">
      <dataBar>
        <cfvo type="min"/>
        <cfvo type="max"/>
        <color rgb="FF2E5FA3"/>
      </dataBar>
      <extLst>
        <ext xmlns:x14="http://schemas.microsoft.com/office/spreadsheetml/2009/9/main" uri="{B025F937-C7B1-47D3-B67F-A62EFF666E3E}">
          <x14:id>{409590A0-D819-4E00-8159-9ABBECE89B8F}</x14:id>
        </ext>
      </extLst>
    </cfRule>
  </conditionalFormatting>
  <conditionalFormatting sqref="J5:J292">
    <cfRule type="cellIs" dxfId="2" priority="2" operator="greaterThan">
      <formula>0.15</formula>
    </cfRule>
    <cfRule type="cellIs" dxfId="1" priority="3" operator="between">
      <formula>-0.1</formula>
      <formula>0.15</formula>
    </cfRule>
    <cfRule type="cellIs" dxfId="0" priority="4" operator="lessThan">
      <formula>-0.1</formula>
    </cfRule>
  </conditionalFormatting>
  <pageMargins left="0.75" right="0.75" top="1" bottom="1" header="0.511811023622047" footer="0.511811023622047"/>
  <pageSetup paperSize="9" orientation="portrait" horizontalDpi="300" verticalDpi="300"/>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09590A0-D819-4E00-8159-9ABBECE89B8F}">
            <x14:dataBar axisPosition="none">
              <x14:cfvo type="min"/>
              <x14:cfvo type="max"/>
              <x14:negativeFillColor rgb="FF2E5FA3"/>
            </x14:dataBar>
          </x14:cfRule>
          <xm:sqref>H5:H292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A0AEF-3D0A-45CD-AED9-DB50D1DAAC73}">
  <sheetPr>
    <tabColor rgb="FF1F3864"/>
  </sheetPr>
  <dimension ref="A1:Z60"/>
  <sheetViews>
    <sheetView zoomScale="60" zoomScaleNormal="64" workbookViewId="0">
      <selection activeCell="O18" sqref="O18"/>
    </sheetView>
  </sheetViews>
  <sheetFormatPr defaultRowHeight="14.25" x14ac:dyDescent="0.45"/>
  <cols>
    <col min="1" max="1" width="3.53125" customWidth="1"/>
    <col min="2" max="2" width="13.9296875" bestFit="1" customWidth="1"/>
    <col min="3" max="3" width="16.73046875" bestFit="1" customWidth="1"/>
    <col min="4" max="5" width="9.73046875" bestFit="1" customWidth="1"/>
    <col min="6" max="7" width="11.3984375" bestFit="1" customWidth="1"/>
    <col min="8" max="9" width="16" customWidth="1"/>
    <col min="10" max="10" width="3.53125" customWidth="1"/>
    <col min="11" max="19" width="15.1328125" customWidth="1"/>
    <col min="21" max="21" width="9.06640625" customWidth="1"/>
    <col min="22" max="22" width="9.9296875" bestFit="1" customWidth="1"/>
  </cols>
  <sheetData>
    <row r="1" spans="1:26" ht="38" customHeight="1" x14ac:dyDescent="0.45">
      <c r="A1" s="50" t="s">
        <v>1318</v>
      </c>
      <c r="B1" s="51"/>
      <c r="C1" s="51"/>
      <c r="D1" s="51"/>
      <c r="E1" s="51"/>
      <c r="F1" s="51"/>
      <c r="G1" s="51"/>
      <c r="H1" s="51"/>
      <c r="I1" s="51"/>
      <c r="J1" s="51"/>
      <c r="K1" s="51"/>
      <c r="L1" s="51"/>
      <c r="M1" s="51"/>
      <c r="N1" s="51"/>
      <c r="O1" s="51"/>
      <c r="P1" s="51"/>
      <c r="Q1" s="51"/>
      <c r="R1" s="51"/>
      <c r="S1" s="51"/>
      <c r="T1" s="69"/>
      <c r="U1" s="69"/>
      <c r="V1" s="69"/>
      <c r="W1" s="69"/>
      <c r="X1" s="69"/>
      <c r="Y1" s="69"/>
      <c r="Z1" s="69"/>
    </row>
    <row r="2" spans="1:26" x14ac:dyDescent="0.45">
      <c r="A2" s="52" t="s">
        <v>1319</v>
      </c>
      <c r="B2" s="51"/>
      <c r="C2" s="51"/>
      <c r="D2" s="51"/>
      <c r="E2" s="51"/>
      <c r="F2" s="51"/>
      <c r="G2" s="51"/>
      <c r="H2" s="51"/>
      <c r="I2" s="51"/>
      <c r="J2" s="51"/>
      <c r="K2" s="51"/>
      <c r="L2" s="51"/>
      <c r="M2" s="51"/>
      <c r="N2" s="51"/>
      <c r="O2" s="51"/>
      <c r="P2" s="51"/>
      <c r="Q2" s="51"/>
      <c r="R2" s="51"/>
      <c r="S2" s="51"/>
      <c r="T2" s="69"/>
      <c r="U2" s="69"/>
      <c r="V2" s="69"/>
      <c r="W2" s="69"/>
      <c r="X2" s="69"/>
      <c r="Y2" s="69"/>
      <c r="Z2" s="69"/>
    </row>
    <row r="3" spans="1:26" x14ac:dyDescent="0.45">
      <c r="A3" s="53"/>
      <c r="B3" s="53"/>
      <c r="C3" s="53"/>
      <c r="D3" s="53"/>
      <c r="E3" s="53"/>
      <c r="F3" s="53"/>
      <c r="G3" s="53"/>
      <c r="H3" s="53"/>
      <c r="I3" s="53"/>
      <c r="J3" s="53"/>
      <c r="K3" s="64"/>
      <c r="L3" s="64"/>
      <c r="M3" s="64"/>
      <c r="N3" s="64"/>
      <c r="O3" s="64"/>
      <c r="P3" s="65" t="s">
        <v>4</v>
      </c>
      <c r="Q3" s="65" t="s">
        <v>1328</v>
      </c>
      <c r="R3" s="65" t="s">
        <v>1329</v>
      </c>
      <c r="S3" s="65" t="s">
        <v>1280</v>
      </c>
      <c r="T3" s="69"/>
      <c r="U3" s="70" t="s">
        <v>4</v>
      </c>
      <c r="V3" s="70" t="s">
        <v>1280</v>
      </c>
      <c r="W3" s="69"/>
      <c r="X3" s="69"/>
      <c r="Y3" s="69"/>
      <c r="Z3" s="69"/>
    </row>
    <row r="4" spans="1:26" ht="24" customHeight="1" x14ac:dyDescent="0.45">
      <c r="A4" s="53"/>
      <c r="B4" s="54" t="s">
        <v>1320</v>
      </c>
      <c r="C4" s="54"/>
      <c r="D4" s="54" t="s">
        <v>1321</v>
      </c>
      <c r="E4" s="54"/>
      <c r="F4" s="54" t="s">
        <v>1322</v>
      </c>
      <c r="G4" s="54"/>
      <c r="H4" s="54" t="s">
        <v>1323</v>
      </c>
      <c r="I4" s="54"/>
      <c r="J4" s="53"/>
      <c r="K4" s="64"/>
      <c r="L4" s="64"/>
      <c r="M4" s="64"/>
      <c r="N4" s="64"/>
      <c r="O4" s="64"/>
      <c r="P4" s="64" t="s">
        <v>35</v>
      </c>
      <c r="Q4" s="66">
        <f>SUMIFS(Variance_Tracker!G:G,Variance_Tracker!B:B,P4)</f>
        <v>4650000</v>
      </c>
      <c r="R4" s="66">
        <f>SUMIFS(Variance_Tracker!H:H,Variance_Tracker!B:B,P4)</f>
        <v>4562700</v>
      </c>
      <c r="S4" s="67">
        <f>R4-Q4</f>
        <v>-87300</v>
      </c>
      <c r="T4" s="69"/>
      <c r="U4" s="71" t="str">
        <f t="shared" ref="U4:U9" si="0">P4</f>
        <v>Finance</v>
      </c>
      <c r="V4" s="72">
        <f t="shared" ref="V4:V9" si="1">S4</f>
        <v>-87300</v>
      </c>
      <c r="W4" s="69"/>
      <c r="X4" s="69"/>
      <c r="Y4" s="69"/>
      <c r="Z4" s="69"/>
    </row>
    <row r="5" spans="1:26" ht="44" customHeight="1" x14ac:dyDescent="0.6">
      <c r="A5" s="53"/>
      <c r="B5" s="55">
        <f>SUM(Variance_Tracker!G5:G292)</f>
        <v>43137000</v>
      </c>
      <c r="C5" s="55"/>
      <c r="D5" s="55">
        <f>SUM(Variance_Tracker!H5:H292)</f>
        <v>42004800</v>
      </c>
      <c r="E5" s="55"/>
      <c r="F5" s="56">
        <f>D5-B5</f>
        <v>-1132200</v>
      </c>
      <c r="G5" s="56"/>
      <c r="H5" s="57">
        <f>IFERROR(F5/B5,0)</f>
        <v>-2.6246609639056957E-2</v>
      </c>
      <c r="I5" s="57"/>
      <c r="J5" s="53"/>
      <c r="K5" s="64"/>
      <c r="L5" s="64"/>
      <c r="M5" s="64"/>
      <c r="N5" s="64"/>
      <c r="O5" s="64"/>
      <c r="P5" s="64" t="s">
        <v>57</v>
      </c>
      <c r="Q5" s="66">
        <f>SUMIFS(Variance_Tracker!G:G,Variance_Tracker!B:B,P5)</f>
        <v>6551000</v>
      </c>
      <c r="R5" s="66">
        <f>SUMIFS(Variance_Tracker!H:H,Variance_Tracker!B:B,P5)</f>
        <v>6395000</v>
      </c>
      <c r="S5" s="67">
        <f>R5-Q5</f>
        <v>-156000</v>
      </c>
      <c r="T5" s="69"/>
      <c r="U5" s="71" t="str">
        <f t="shared" si="0"/>
        <v>HR</v>
      </c>
      <c r="V5" s="72">
        <f t="shared" si="1"/>
        <v>-156000</v>
      </c>
      <c r="W5" s="69"/>
      <c r="X5" s="69"/>
      <c r="Y5" s="69"/>
      <c r="Z5" s="69"/>
    </row>
    <row r="6" spans="1:26" x14ac:dyDescent="0.45">
      <c r="A6" s="53"/>
      <c r="B6" s="53"/>
      <c r="C6" s="53"/>
      <c r="D6" s="53"/>
      <c r="E6" s="53"/>
      <c r="F6" s="53"/>
      <c r="G6" s="53"/>
      <c r="H6" s="53"/>
      <c r="I6" s="53"/>
      <c r="J6" s="53"/>
      <c r="K6" s="64"/>
      <c r="L6" s="64"/>
      <c r="M6" s="64"/>
      <c r="N6" s="64"/>
      <c r="O6" s="64"/>
      <c r="P6" s="64" t="s">
        <v>24</v>
      </c>
      <c r="Q6" s="66">
        <f>SUMIFS(Variance_Tracker!G:G,Variance_Tracker!B:B,P6)</f>
        <v>9672000</v>
      </c>
      <c r="R6" s="66">
        <f>SUMIFS(Variance_Tracker!H:H,Variance_Tracker!B:B,P6)</f>
        <v>9211900</v>
      </c>
      <c r="S6" s="67">
        <f>R6-Q6</f>
        <v>-460100</v>
      </c>
      <c r="T6" s="69"/>
      <c r="U6" s="71" t="str">
        <f t="shared" si="0"/>
        <v>IT</v>
      </c>
      <c r="V6" s="72">
        <f t="shared" si="1"/>
        <v>-460100</v>
      </c>
      <c r="W6" s="69"/>
      <c r="X6" s="69"/>
      <c r="Y6" s="69"/>
      <c r="Z6" s="69"/>
    </row>
    <row r="7" spans="1:26" ht="24" customHeight="1" x14ac:dyDescent="0.5">
      <c r="A7" s="53"/>
      <c r="B7" s="58" t="s">
        <v>1327</v>
      </c>
      <c r="C7" s="51"/>
      <c r="D7" s="51"/>
      <c r="E7" s="51"/>
      <c r="F7" s="51"/>
      <c r="G7" s="51"/>
      <c r="H7" s="51"/>
      <c r="I7" s="51"/>
      <c r="J7" s="53"/>
      <c r="K7" s="68"/>
      <c r="L7" s="68"/>
      <c r="M7" s="68"/>
      <c r="N7" s="68"/>
      <c r="O7" s="68"/>
      <c r="P7" s="68"/>
      <c r="Q7" s="68"/>
      <c r="R7" s="68"/>
      <c r="S7" s="68"/>
      <c r="T7" s="69"/>
      <c r="U7" s="71">
        <f t="shared" si="0"/>
        <v>0</v>
      </c>
      <c r="V7" s="72">
        <f t="shared" si="1"/>
        <v>0</v>
      </c>
      <c r="W7" s="69"/>
      <c r="X7" s="69"/>
      <c r="Y7" s="69"/>
      <c r="Z7" s="69"/>
    </row>
    <row r="8" spans="1:26" x14ac:dyDescent="0.45">
      <c r="A8" s="53"/>
      <c r="B8" s="59" t="s">
        <v>1280</v>
      </c>
      <c r="C8" s="59" t="s">
        <v>1326</v>
      </c>
      <c r="D8" s="59"/>
      <c r="E8" s="59"/>
      <c r="F8" s="59"/>
      <c r="G8" s="59"/>
      <c r="H8" s="60"/>
      <c r="I8" s="60"/>
      <c r="J8" s="53"/>
      <c r="K8" s="64"/>
      <c r="L8" s="64"/>
      <c r="M8" s="64"/>
      <c r="N8" s="64"/>
      <c r="O8" s="64"/>
      <c r="P8" s="64" t="s">
        <v>19</v>
      </c>
      <c r="Q8" s="66">
        <f>SUMIFS(Variance_Tracker!G:G,Variance_Tracker!B:B,P8)</f>
        <v>5891000</v>
      </c>
      <c r="R8" s="66">
        <f>SUMIFS(Variance_Tracker!H:H,Variance_Tracker!B:B,P8)</f>
        <v>5726100</v>
      </c>
      <c r="S8" s="67">
        <f>R8-Q8</f>
        <v>-164900</v>
      </c>
      <c r="T8" s="69"/>
      <c r="U8" s="71" t="str">
        <f t="shared" si="0"/>
        <v>Operations</v>
      </c>
      <c r="V8" s="72">
        <f t="shared" si="1"/>
        <v>-164900</v>
      </c>
      <c r="W8" s="69"/>
      <c r="X8" s="69"/>
      <c r="Y8" s="69"/>
      <c r="Z8" s="69"/>
    </row>
    <row r="9" spans="1:26" x14ac:dyDescent="0.45">
      <c r="A9" s="53"/>
      <c r="B9" s="59" t="s">
        <v>1324</v>
      </c>
      <c r="C9" s="59" t="s">
        <v>12</v>
      </c>
      <c r="D9" s="59" t="s">
        <v>23</v>
      </c>
      <c r="E9" s="59" t="s">
        <v>41</v>
      </c>
      <c r="F9" s="59" t="s">
        <v>30</v>
      </c>
      <c r="G9" s="59" t="s">
        <v>1325</v>
      </c>
      <c r="H9" s="60"/>
      <c r="I9" s="60"/>
      <c r="J9" s="53"/>
      <c r="K9" s="64"/>
      <c r="L9" s="64"/>
      <c r="M9" s="64"/>
      <c r="N9" s="64"/>
      <c r="O9" s="64"/>
      <c r="P9" s="64" t="s">
        <v>71</v>
      </c>
      <c r="Q9" s="66">
        <f>SUMIFS(Variance_Tracker!G:G,Variance_Tracker!B:B,P9)</f>
        <v>8621000</v>
      </c>
      <c r="R9" s="66">
        <f>SUMIFS(Variance_Tracker!H:H,Variance_Tracker!B:B,P9)</f>
        <v>8459300</v>
      </c>
      <c r="S9" s="67">
        <f>R9-Q9</f>
        <v>-161700</v>
      </c>
      <c r="T9" s="69"/>
      <c r="U9" s="71" t="str">
        <f t="shared" si="0"/>
        <v>Sales</v>
      </c>
      <c r="V9" s="72">
        <f t="shared" si="1"/>
        <v>-161700</v>
      </c>
      <c r="W9" s="69"/>
      <c r="X9" s="69"/>
      <c r="Y9" s="69"/>
      <c r="Z9" s="69"/>
    </row>
    <row r="10" spans="1:26" x14ac:dyDescent="0.45">
      <c r="A10" s="53"/>
      <c r="B10" s="61" t="s">
        <v>35</v>
      </c>
      <c r="C10" s="62">
        <v>114000</v>
      </c>
      <c r="D10" s="62">
        <v>-50700</v>
      </c>
      <c r="E10" s="62">
        <v>-67200</v>
      </c>
      <c r="F10" s="62">
        <v>-83400</v>
      </c>
      <c r="G10" s="62">
        <v>-87300</v>
      </c>
      <c r="H10" s="60"/>
      <c r="I10" s="60"/>
      <c r="J10" s="53"/>
      <c r="K10" s="53"/>
      <c r="L10" s="53"/>
      <c r="M10" s="53"/>
      <c r="N10" s="53"/>
      <c r="O10" s="53"/>
      <c r="P10" s="53"/>
      <c r="Q10" s="53"/>
      <c r="R10" s="53"/>
      <c r="S10" s="53"/>
      <c r="T10" s="69"/>
      <c r="U10" s="69"/>
      <c r="V10" s="69"/>
      <c r="W10" s="69"/>
      <c r="X10" s="69"/>
      <c r="Y10" s="69"/>
      <c r="Z10" s="69"/>
    </row>
    <row r="11" spans="1:26" x14ac:dyDescent="0.45">
      <c r="A11" s="53"/>
      <c r="B11" s="61" t="s">
        <v>57</v>
      </c>
      <c r="C11" s="62">
        <v>130600</v>
      </c>
      <c r="D11" s="62">
        <v>-16800</v>
      </c>
      <c r="E11" s="62">
        <v>-62300</v>
      </c>
      <c r="F11" s="62">
        <v>-207500</v>
      </c>
      <c r="G11" s="62">
        <v>-156000</v>
      </c>
      <c r="H11" s="60"/>
      <c r="I11" s="60"/>
      <c r="J11" s="53"/>
      <c r="K11" s="53"/>
      <c r="L11" s="53"/>
      <c r="M11" s="53"/>
      <c r="N11" s="53"/>
      <c r="O11" s="53"/>
      <c r="P11" s="53"/>
      <c r="Q11" s="53"/>
      <c r="R11" s="53"/>
      <c r="S11" s="53"/>
      <c r="T11" s="69"/>
      <c r="U11" s="69"/>
      <c r="V11" s="69"/>
      <c r="W11" s="69"/>
      <c r="X11" s="69"/>
      <c r="Y11" s="69"/>
      <c r="Z11" s="69"/>
    </row>
    <row r="12" spans="1:26" x14ac:dyDescent="0.45">
      <c r="A12" s="53"/>
      <c r="B12" s="61" t="s">
        <v>24</v>
      </c>
      <c r="C12" s="62">
        <v>8100</v>
      </c>
      <c r="D12" s="62">
        <v>-96900</v>
      </c>
      <c r="E12" s="62">
        <v>-146700</v>
      </c>
      <c r="F12" s="62">
        <v>-224600</v>
      </c>
      <c r="G12" s="62">
        <v>-460100</v>
      </c>
      <c r="H12" s="60"/>
      <c r="I12" s="60"/>
      <c r="J12" s="53"/>
      <c r="K12" s="53"/>
      <c r="L12" s="53"/>
      <c r="M12" s="53"/>
      <c r="N12" s="53"/>
      <c r="O12" s="53"/>
      <c r="P12" s="53"/>
      <c r="Q12" s="53"/>
      <c r="R12" s="53"/>
      <c r="S12" s="53"/>
      <c r="T12" s="69"/>
      <c r="U12" s="69"/>
      <c r="V12" s="69"/>
      <c r="W12" s="69"/>
      <c r="X12" s="69"/>
      <c r="Y12" s="69"/>
      <c r="Z12" s="69"/>
    </row>
    <row r="13" spans="1:26" x14ac:dyDescent="0.45">
      <c r="A13" s="53"/>
      <c r="B13" s="61" t="s">
        <v>13</v>
      </c>
      <c r="C13" s="62">
        <v>123500</v>
      </c>
      <c r="D13" s="62">
        <v>115500</v>
      </c>
      <c r="E13" s="62">
        <v>-167800</v>
      </c>
      <c r="F13" s="62">
        <v>-173400</v>
      </c>
      <c r="G13" s="62">
        <v>-102200</v>
      </c>
      <c r="H13" s="60"/>
      <c r="I13" s="60"/>
      <c r="J13" s="53"/>
      <c r="K13" s="53"/>
      <c r="L13" s="53"/>
      <c r="M13" s="53"/>
      <c r="N13" s="53"/>
      <c r="O13" s="53"/>
      <c r="P13" s="53"/>
      <c r="Q13" s="53"/>
      <c r="R13" s="53"/>
      <c r="S13" s="53"/>
      <c r="T13" s="69"/>
      <c r="U13" s="69"/>
      <c r="V13" s="69"/>
      <c r="W13" s="69"/>
      <c r="X13" s="69"/>
      <c r="Y13" s="69"/>
      <c r="Z13" s="69"/>
    </row>
    <row r="14" spans="1:26" x14ac:dyDescent="0.45">
      <c r="A14" s="53"/>
      <c r="B14" s="61" t="s">
        <v>19</v>
      </c>
      <c r="C14" s="62">
        <v>50800</v>
      </c>
      <c r="D14" s="62">
        <v>-32700</v>
      </c>
      <c r="E14" s="62">
        <v>-47600</v>
      </c>
      <c r="F14" s="62">
        <v>-135400</v>
      </c>
      <c r="G14" s="62">
        <v>-164900</v>
      </c>
      <c r="H14" s="60"/>
      <c r="I14" s="60"/>
      <c r="J14" s="53"/>
      <c r="K14" s="53"/>
      <c r="L14" s="53"/>
      <c r="M14" s="53"/>
      <c r="N14" s="53"/>
      <c r="O14" s="53"/>
      <c r="P14" s="53"/>
      <c r="Q14" s="53"/>
      <c r="R14" s="53"/>
      <c r="S14" s="53"/>
      <c r="T14" s="69"/>
      <c r="U14" s="69"/>
      <c r="V14" s="69"/>
      <c r="W14" s="69"/>
      <c r="X14" s="69"/>
      <c r="Y14" s="69"/>
      <c r="Z14" s="69"/>
    </row>
    <row r="15" spans="1:26" x14ac:dyDescent="0.45">
      <c r="A15" s="53"/>
      <c r="B15" s="61" t="s">
        <v>71</v>
      </c>
      <c r="C15" s="62">
        <v>99700</v>
      </c>
      <c r="D15" s="62">
        <v>-143800</v>
      </c>
      <c r="E15" s="62">
        <v>108900</v>
      </c>
      <c r="F15" s="62">
        <v>-226500</v>
      </c>
      <c r="G15" s="62">
        <v>-161700</v>
      </c>
      <c r="H15" s="60"/>
      <c r="I15" s="60"/>
      <c r="J15" s="53"/>
      <c r="K15" s="53"/>
      <c r="L15" s="53"/>
      <c r="M15" s="53"/>
      <c r="N15" s="53"/>
      <c r="O15" s="53"/>
      <c r="P15" s="53"/>
      <c r="Q15" s="53"/>
      <c r="R15" s="53"/>
      <c r="S15" s="53"/>
      <c r="T15" s="69"/>
      <c r="U15" s="69"/>
      <c r="V15" s="69"/>
      <c r="W15" s="69"/>
      <c r="X15" s="69"/>
      <c r="Y15" s="69"/>
      <c r="Z15" s="69"/>
    </row>
    <row r="16" spans="1:26" x14ac:dyDescent="0.45">
      <c r="A16" s="53"/>
      <c r="B16" s="61" t="s">
        <v>1325</v>
      </c>
      <c r="C16" s="62">
        <v>526700</v>
      </c>
      <c r="D16" s="62">
        <v>-225400</v>
      </c>
      <c r="E16" s="62">
        <v>-382700</v>
      </c>
      <c r="F16" s="62">
        <v>-1050800</v>
      </c>
      <c r="G16" s="62">
        <v>-1132200</v>
      </c>
      <c r="H16" s="60"/>
      <c r="I16" s="60"/>
      <c r="J16" s="53"/>
      <c r="K16" s="53"/>
      <c r="L16" s="53"/>
      <c r="M16" s="53"/>
      <c r="N16" s="53"/>
      <c r="O16" s="53"/>
      <c r="P16" s="53"/>
      <c r="Q16" s="53"/>
      <c r="R16" s="53"/>
      <c r="S16" s="53"/>
      <c r="T16" s="69"/>
      <c r="U16" s="69"/>
      <c r="V16" s="69"/>
      <c r="W16" s="69"/>
      <c r="X16" s="69"/>
      <c r="Y16" s="69"/>
      <c r="Z16" s="69"/>
    </row>
    <row r="17" spans="1:26" x14ac:dyDescent="0.45">
      <c r="A17" s="53"/>
      <c r="B17" s="59"/>
      <c r="C17" s="59"/>
      <c r="D17" s="59"/>
      <c r="E17" s="60"/>
      <c r="F17" s="60"/>
      <c r="G17" s="60"/>
      <c r="H17" s="60"/>
      <c r="I17" s="60"/>
      <c r="J17" s="53"/>
      <c r="K17" s="53"/>
      <c r="L17" s="53"/>
      <c r="M17" s="53"/>
      <c r="N17" s="53"/>
      <c r="O17" s="53"/>
      <c r="P17" s="53"/>
      <c r="Q17" s="53"/>
      <c r="R17" s="53"/>
      <c r="S17" s="53"/>
      <c r="T17" s="69"/>
      <c r="U17" s="69"/>
      <c r="V17" s="69"/>
      <c r="W17" s="69"/>
      <c r="X17" s="69"/>
      <c r="Y17" s="69"/>
      <c r="Z17" s="69"/>
    </row>
    <row r="18" spans="1:26" x14ac:dyDescent="0.45">
      <c r="A18" s="53"/>
      <c r="B18" s="59"/>
      <c r="C18" s="59"/>
      <c r="D18" s="59"/>
      <c r="E18" s="60"/>
      <c r="F18" s="60"/>
      <c r="G18" s="60"/>
      <c r="H18" s="60"/>
      <c r="I18" s="60"/>
      <c r="J18" s="53"/>
      <c r="K18" s="53"/>
      <c r="L18" s="53"/>
      <c r="M18" s="53"/>
      <c r="N18" s="53"/>
      <c r="O18" s="53"/>
      <c r="P18" s="53"/>
      <c r="Q18" s="53"/>
      <c r="R18" s="53"/>
      <c r="S18" s="53"/>
      <c r="T18" s="69"/>
      <c r="U18" s="69"/>
      <c r="V18" s="69"/>
      <c r="W18" s="69"/>
      <c r="X18" s="69"/>
      <c r="Y18" s="69"/>
      <c r="Z18" s="69"/>
    </row>
    <row r="19" spans="1:26" x14ac:dyDescent="0.45">
      <c r="A19" s="53"/>
      <c r="B19" s="59"/>
      <c r="C19" s="59"/>
      <c r="D19" s="59"/>
      <c r="E19" s="60"/>
      <c r="F19" s="60"/>
      <c r="G19" s="60"/>
      <c r="H19" s="60"/>
      <c r="I19" s="60"/>
      <c r="J19" s="53"/>
      <c r="K19" s="53"/>
      <c r="L19" s="53"/>
      <c r="M19" s="53"/>
      <c r="N19" s="53"/>
      <c r="O19" s="53"/>
      <c r="P19" s="53"/>
      <c r="Q19" s="53"/>
      <c r="R19" s="53"/>
      <c r="S19" s="53"/>
      <c r="T19" s="69"/>
      <c r="U19" s="69"/>
      <c r="V19" s="69"/>
      <c r="W19" s="69"/>
      <c r="X19" s="69"/>
      <c r="Y19" s="69"/>
      <c r="Z19" s="69"/>
    </row>
    <row r="20" spans="1:26" x14ac:dyDescent="0.45">
      <c r="A20" s="53"/>
      <c r="B20" s="59"/>
      <c r="C20" s="59"/>
      <c r="D20" s="59"/>
      <c r="E20" s="60"/>
      <c r="F20" s="60"/>
      <c r="G20" s="60"/>
      <c r="H20" s="60"/>
      <c r="I20" s="60"/>
      <c r="J20" s="53"/>
      <c r="K20" s="53"/>
      <c r="L20" s="53"/>
      <c r="M20" s="53"/>
      <c r="N20" s="53"/>
      <c r="O20" s="53"/>
      <c r="P20" s="53"/>
      <c r="Q20" s="53"/>
      <c r="R20" s="53"/>
      <c r="S20" s="53"/>
      <c r="T20" s="69"/>
      <c r="U20" s="69"/>
      <c r="V20" s="69"/>
      <c r="W20" s="69"/>
      <c r="X20" s="69"/>
      <c r="Y20" s="69"/>
      <c r="Z20" s="69"/>
    </row>
    <row r="21" spans="1:26" ht="24" customHeight="1" x14ac:dyDescent="0.5">
      <c r="A21" s="53"/>
      <c r="B21" s="58" t="s">
        <v>1330</v>
      </c>
      <c r="C21" s="51"/>
      <c r="D21" s="51"/>
      <c r="E21" s="51"/>
      <c r="F21" s="51"/>
      <c r="G21" s="51"/>
      <c r="H21" s="51"/>
      <c r="I21" s="51"/>
      <c r="J21" s="51"/>
      <c r="K21" s="51"/>
      <c r="L21" s="51"/>
      <c r="M21" s="51"/>
      <c r="N21" s="51"/>
      <c r="O21" s="51"/>
      <c r="P21" s="51"/>
      <c r="Q21" s="51"/>
      <c r="R21" s="51"/>
      <c r="S21" s="51"/>
      <c r="T21" s="69"/>
      <c r="U21" s="69"/>
      <c r="V21" s="69"/>
      <c r="W21" s="69"/>
      <c r="X21" s="69"/>
      <c r="Y21" s="69"/>
      <c r="Z21" s="69"/>
    </row>
    <row r="22" spans="1:26" x14ac:dyDescent="0.45">
      <c r="A22" s="53"/>
      <c r="B22" s="63"/>
      <c r="C22" s="63"/>
      <c r="D22" s="63"/>
      <c r="E22" s="53"/>
      <c r="F22" s="53"/>
      <c r="G22" s="53"/>
      <c r="H22" s="53"/>
      <c r="I22" s="53"/>
      <c r="J22" s="53"/>
      <c r="K22" s="53"/>
      <c r="L22" s="53"/>
      <c r="M22" s="53"/>
      <c r="N22" s="53"/>
      <c r="O22" s="53"/>
      <c r="P22" s="53"/>
      <c r="Q22" s="53"/>
      <c r="R22" s="53"/>
      <c r="S22" s="53"/>
      <c r="T22" s="69"/>
      <c r="U22" s="69"/>
      <c r="V22" s="69"/>
      <c r="W22" s="69"/>
      <c r="X22" s="69"/>
      <c r="Y22" s="69"/>
      <c r="Z22" s="69"/>
    </row>
    <row r="23" spans="1:26" x14ac:dyDescent="0.45">
      <c r="A23" s="53"/>
      <c r="B23" s="63"/>
      <c r="C23" s="63"/>
      <c r="D23" s="63"/>
      <c r="E23" s="53"/>
      <c r="F23" s="53"/>
      <c r="G23" s="53"/>
      <c r="H23" s="53"/>
      <c r="I23" s="53"/>
      <c r="J23" s="53"/>
      <c r="K23" s="53"/>
      <c r="L23" s="53"/>
      <c r="M23" s="53"/>
      <c r="N23" s="53"/>
      <c r="O23" s="53"/>
      <c r="P23" s="53"/>
      <c r="Q23" s="53"/>
      <c r="R23" s="53"/>
      <c r="S23" s="53"/>
      <c r="T23" s="69"/>
      <c r="U23" s="69"/>
      <c r="V23" s="69"/>
      <c r="W23" s="69"/>
      <c r="X23" s="69"/>
      <c r="Y23" s="69"/>
      <c r="Z23" s="69"/>
    </row>
    <row r="24" spans="1:26" x14ac:dyDescent="0.45">
      <c r="A24" s="53"/>
      <c r="B24" s="63"/>
      <c r="C24" s="63"/>
      <c r="D24" s="63"/>
      <c r="E24" s="53"/>
      <c r="F24" s="53"/>
      <c r="G24" s="53"/>
      <c r="H24" s="53"/>
      <c r="I24" s="53"/>
      <c r="J24" s="53"/>
      <c r="K24" s="53"/>
      <c r="L24" s="53"/>
      <c r="M24" s="53"/>
      <c r="N24" s="53"/>
      <c r="O24" s="53"/>
      <c r="P24" s="53"/>
      <c r="Q24" s="53"/>
      <c r="R24" s="53"/>
      <c r="S24" s="53"/>
      <c r="T24" s="69"/>
      <c r="U24" s="69"/>
      <c r="V24" s="69"/>
      <c r="W24" s="69"/>
      <c r="X24" s="69"/>
      <c r="Y24" s="69"/>
      <c r="Z24" s="69"/>
    </row>
    <row r="25" spans="1:26" x14ac:dyDescent="0.45">
      <c r="A25" s="53"/>
      <c r="B25" s="63"/>
      <c r="C25" s="63"/>
      <c r="D25" s="63"/>
      <c r="E25" s="53"/>
      <c r="F25" s="53"/>
      <c r="G25" s="53"/>
      <c r="H25" s="53"/>
      <c r="I25" s="53"/>
      <c r="J25" s="53"/>
      <c r="K25" s="53"/>
      <c r="L25" s="53"/>
      <c r="M25" s="53"/>
      <c r="N25" s="53"/>
      <c r="O25" s="53"/>
      <c r="P25" s="53"/>
      <c r="Q25" s="53"/>
      <c r="R25" s="53"/>
      <c r="S25" s="53"/>
      <c r="T25" s="69"/>
      <c r="U25" s="69"/>
      <c r="V25" s="69"/>
      <c r="W25" s="69"/>
      <c r="X25" s="69"/>
      <c r="Y25" s="69"/>
      <c r="Z25" s="69"/>
    </row>
    <row r="26" spans="1:26" x14ac:dyDescent="0.45">
      <c r="A26" s="53"/>
      <c r="B26" s="53"/>
      <c r="C26" s="53"/>
      <c r="D26" s="53"/>
      <c r="E26" s="53"/>
      <c r="F26" s="53"/>
      <c r="G26" s="53"/>
      <c r="H26" s="53"/>
      <c r="I26" s="53"/>
      <c r="J26" s="53"/>
      <c r="K26" s="53"/>
      <c r="L26" s="53"/>
      <c r="M26" s="53"/>
      <c r="N26" s="53"/>
      <c r="O26" s="53"/>
      <c r="P26" s="53"/>
      <c r="Q26" s="53"/>
      <c r="R26" s="53"/>
      <c r="S26" s="53"/>
      <c r="T26" s="69"/>
      <c r="U26" s="69"/>
      <c r="V26" s="69"/>
      <c r="W26" s="69"/>
      <c r="X26" s="69"/>
      <c r="Y26" s="69"/>
      <c r="Z26" s="69"/>
    </row>
    <row r="27" spans="1:26" x14ac:dyDescent="0.45">
      <c r="A27" s="53"/>
      <c r="B27" s="53"/>
      <c r="C27" s="53"/>
      <c r="D27" s="53"/>
      <c r="E27" s="53"/>
      <c r="F27" s="53"/>
      <c r="G27" s="53"/>
      <c r="H27" s="53"/>
      <c r="I27" s="53"/>
      <c r="J27" s="53"/>
      <c r="K27" s="53"/>
      <c r="L27" s="53"/>
      <c r="M27" s="53"/>
      <c r="N27" s="53"/>
      <c r="O27" s="53"/>
      <c r="P27" s="53"/>
      <c r="Q27" s="53"/>
      <c r="R27" s="53"/>
      <c r="S27" s="53"/>
      <c r="T27" s="69"/>
      <c r="U27" s="69"/>
      <c r="V27" s="69"/>
      <c r="W27" s="69"/>
      <c r="X27" s="69"/>
      <c r="Y27" s="69"/>
      <c r="Z27" s="69"/>
    </row>
    <row r="28" spans="1:26" x14ac:dyDescent="0.45">
      <c r="A28" s="53"/>
      <c r="B28" s="53"/>
      <c r="C28" s="53"/>
      <c r="D28" s="53"/>
      <c r="E28" s="53"/>
      <c r="F28" s="53"/>
      <c r="G28" s="53"/>
      <c r="H28" s="53"/>
      <c r="I28" s="53"/>
      <c r="J28" s="53"/>
      <c r="K28" s="53"/>
      <c r="L28" s="53"/>
      <c r="M28" s="53"/>
      <c r="N28" s="53"/>
      <c r="O28" s="53"/>
      <c r="P28" s="53"/>
      <c r="Q28" s="53"/>
      <c r="R28" s="53"/>
      <c r="S28" s="53"/>
      <c r="T28" s="69"/>
      <c r="U28" s="69"/>
      <c r="V28" s="69"/>
      <c r="W28" s="69"/>
      <c r="X28" s="69"/>
      <c r="Y28" s="69"/>
      <c r="Z28" s="69"/>
    </row>
    <row r="29" spans="1:26" x14ac:dyDescent="0.45">
      <c r="A29" s="53"/>
      <c r="B29" s="53"/>
      <c r="C29" s="53"/>
      <c r="D29" s="53"/>
      <c r="E29" s="53"/>
      <c r="F29" s="53"/>
      <c r="G29" s="53"/>
      <c r="H29" s="53"/>
      <c r="I29" s="53"/>
      <c r="J29" s="53"/>
      <c r="K29" s="53"/>
      <c r="L29" s="53"/>
      <c r="M29" s="53"/>
      <c r="N29" s="53"/>
      <c r="O29" s="53"/>
      <c r="P29" s="53"/>
      <c r="Q29" s="53"/>
      <c r="R29" s="53"/>
      <c r="S29" s="53"/>
      <c r="T29" s="69"/>
      <c r="U29" s="69"/>
      <c r="V29" s="69"/>
      <c r="W29" s="69"/>
      <c r="X29" s="69"/>
      <c r="Y29" s="69"/>
      <c r="Z29" s="69"/>
    </row>
    <row r="30" spans="1:26" x14ac:dyDescent="0.45">
      <c r="A30" s="53"/>
      <c r="B30" s="53"/>
      <c r="C30" s="53"/>
      <c r="D30" s="53"/>
      <c r="E30" s="53"/>
      <c r="F30" s="53"/>
      <c r="G30" s="53"/>
      <c r="H30" s="53"/>
      <c r="I30" s="53"/>
      <c r="J30" s="53"/>
      <c r="K30" s="53"/>
      <c r="L30" s="53"/>
      <c r="M30" s="53"/>
      <c r="N30" s="53"/>
      <c r="O30" s="53"/>
      <c r="P30" s="53"/>
      <c r="Q30" s="53"/>
      <c r="R30" s="53"/>
      <c r="S30" s="53"/>
      <c r="T30" s="69"/>
      <c r="U30" s="69"/>
      <c r="V30" s="69"/>
      <c r="W30" s="69"/>
      <c r="X30" s="69"/>
      <c r="Y30" s="69"/>
      <c r="Z30" s="69"/>
    </row>
    <row r="31" spans="1:26" x14ac:dyDescent="0.45">
      <c r="A31" s="53"/>
      <c r="B31" s="53"/>
      <c r="C31" s="53"/>
      <c r="D31" s="53"/>
      <c r="E31" s="53"/>
      <c r="F31" s="53"/>
      <c r="G31" s="53"/>
      <c r="H31" s="53"/>
      <c r="I31" s="53"/>
      <c r="J31" s="53"/>
      <c r="K31" s="53"/>
      <c r="L31" s="53"/>
      <c r="M31" s="53"/>
      <c r="N31" s="53"/>
      <c r="O31" s="53"/>
      <c r="P31" s="53"/>
      <c r="Q31" s="53"/>
      <c r="R31" s="53"/>
      <c r="S31" s="53"/>
      <c r="T31" s="69"/>
      <c r="U31" s="69"/>
      <c r="V31" s="69"/>
      <c r="W31" s="69"/>
      <c r="X31" s="69"/>
      <c r="Y31" s="69"/>
      <c r="Z31" s="69"/>
    </row>
    <row r="32" spans="1:26" x14ac:dyDescent="0.45">
      <c r="A32" s="53"/>
      <c r="B32" s="53"/>
      <c r="C32" s="53"/>
      <c r="D32" s="53"/>
      <c r="E32" s="53"/>
      <c r="F32" s="53"/>
      <c r="G32" s="53"/>
      <c r="H32" s="53"/>
      <c r="I32" s="53"/>
      <c r="J32" s="53"/>
      <c r="K32" s="53"/>
      <c r="L32" s="53"/>
      <c r="M32" s="53"/>
      <c r="N32" s="53"/>
      <c r="O32" s="53"/>
      <c r="P32" s="53"/>
      <c r="Q32" s="53"/>
      <c r="R32" s="53"/>
      <c r="S32" s="53"/>
      <c r="T32" s="69"/>
      <c r="U32" s="69"/>
      <c r="V32" s="69"/>
      <c r="W32" s="69"/>
      <c r="X32" s="69"/>
      <c r="Y32" s="69"/>
      <c r="Z32" s="69"/>
    </row>
    <row r="33" spans="1:26" x14ac:dyDescent="0.45">
      <c r="A33" s="53"/>
      <c r="B33" s="53"/>
      <c r="C33" s="53"/>
      <c r="D33" s="53"/>
      <c r="E33" s="53"/>
      <c r="F33" s="53"/>
      <c r="G33" s="53"/>
      <c r="H33" s="53"/>
      <c r="I33" s="53"/>
      <c r="J33" s="53"/>
      <c r="K33" s="53"/>
      <c r="L33" s="53"/>
      <c r="M33" s="53"/>
      <c r="N33" s="53"/>
      <c r="O33" s="53"/>
      <c r="P33" s="53"/>
      <c r="Q33" s="53"/>
      <c r="R33" s="53"/>
      <c r="S33" s="53"/>
      <c r="T33" s="69"/>
      <c r="U33" s="69"/>
      <c r="V33" s="69"/>
      <c r="W33" s="69"/>
      <c r="X33" s="69"/>
      <c r="Y33" s="69"/>
      <c r="Z33" s="69"/>
    </row>
    <row r="34" spans="1:26" x14ac:dyDescent="0.45">
      <c r="A34" s="53"/>
      <c r="B34" s="53"/>
      <c r="C34" s="53"/>
      <c r="D34" s="53"/>
      <c r="E34" s="53"/>
      <c r="F34" s="53"/>
      <c r="G34" s="53"/>
      <c r="H34" s="53"/>
      <c r="I34" s="53"/>
      <c r="J34" s="53"/>
      <c r="K34" s="53"/>
      <c r="L34" s="53"/>
      <c r="M34" s="53"/>
      <c r="N34" s="53"/>
      <c r="O34" s="53"/>
      <c r="P34" s="53"/>
      <c r="Q34" s="53"/>
      <c r="R34" s="53"/>
      <c r="S34" s="53"/>
      <c r="T34" s="69"/>
      <c r="U34" s="69"/>
      <c r="V34" s="69"/>
      <c r="W34" s="69"/>
      <c r="X34" s="69"/>
      <c r="Y34" s="69"/>
      <c r="Z34" s="69"/>
    </row>
    <row r="35" spans="1:26" x14ac:dyDescent="0.45">
      <c r="A35" s="53"/>
      <c r="B35" s="53"/>
      <c r="C35" s="53"/>
      <c r="D35" s="53"/>
      <c r="E35" s="53"/>
      <c r="F35" s="53"/>
      <c r="G35" s="53"/>
      <c r="H35" s="53"/>
      <c r="I35" s="53"/>
      <c r="J35" s="53"/>
      <c r="K35" s="53"/>
      <c r="L35" s="53"/>
      <c r="M35" s="53"/>
      <c r="N35" s="53"/>
      <c r="O35" s="53"/>
      <c r="P35" s="53"/>
      <c r="Q35" s="53"/>
      <c r="R35" s="53"/>
      <c r="S35" s="53"/>
      <c r="T35" s="69"/>
      <c r="U35" s="69"/>
      <c r="V35" s="69"/>
      <c r="W35" s="69"/>
      <c r="X35" s="69"/>
      <c r="Y35" s="69"/>
      <c r="Z35" s="69"/>
    </row>
    <row r="36" spans="1:26" x14ac:dyDescent="0.45">
      <c r="A36" s="53"/>
      <c r="B36" s="53"/>
      <c r="C36" s="53"/>
      <c r="D36" s="53"/>
      <c r="E36" s="53"/>
      <c r="F36" s="53"/>
      <c r="G36" s="53"/>
      <c r="H36" s="53"/>
      <c r="I36" s="53"/>
      <c r="J36" s="53"/>
      <c r="K36" s="53"/>
      <c r="L36" s="53"/>
      <c r="M36" s="53"/>
      <c r="N36" s="53"/>
      <c r="O36" s="53"/>
      <c r="P36" s="53"/>
      <c r="Q36" s="53"/>
      <c r="R36" s="53"/>
      <c r="S36" s="53"/>
      <c r="T36" s="69"/>
      <c r="U36" s="69"/>
      <c r="V36" s="69"/>
      <c r="W36" s="69"/>
      <c r="X36" s="69"/>
      <c r="Y36" s="69"/>
      <c r="Z36" s="69"/>
    </row>
    <row r="37" spans="1:26" x14ac:dyDescent="0.45">
      <c r="A37" s="53"/>
      <c r="B37" s="53"/>
      <c r="C37" s="53"/>
      <c r="D37" s="53"/>
      <c r="E37" s="53"/>
      <c r="F37" s="53"/>
      <c r="G37" s="53"/>
      <c r="H37" s="53"/>
      <c r="I37" s="53"/>
      <c r="J37" s="53"/>
      <c r="K37" s="53"/>
      <c r="L37" s="53"/>
      <c r="M37" s="53"/>
      <c r="N37" s="53"/>
      <c r="O37" s="53"/>
      <c r="P37" s="53"/>
      <c r="Q37" s="53"/>
      <c r="R37" s="53"/>
      <c r="S37" s="53"/>
      <c r="T37" s="69"/>
      <c r="U37" s="69"/>
      <c r="V37" s="69"/>
      <c r="W37" s="69"/>
      <c r="X37" s="69"/>
      <c r="Y37" s="69"/>
      <c r="Z37" s="69"/>
    </row>
    <row r="38" spans="1:26" x14ac:dyDescent="0.45">
      <c r="A38" s="53"/>
      <c r="B38" s="53"/>
      <c r="C38" s="53"/>
      <c r="D38" s="53"/>
      <c r="E38" s="53"/>
      <c r="F38" s="53"/>
      <c r="G38" s="53"/>
      <c r="H38" s="53"/>
      <c r="I38" s="53"/>
      <c r="J38" s="53"/>
      <c r="K38" s="53"/>
      <c r="L38" s="53"/>
      <c r="M38" s="53"/>
      <c r="N38" s="53"/>
      <c r="O38" s="53"/>
      <c r="P38" s="53"/>
      <c r="Q38" s="53"/>
      <c r="R38" s="53"/>
      <c r="S38" s="53"/>
      <c r="T38" s="69"/>
      <c r="U38" s="69"/>
      <c r="V38" s="69"/>
      <c r="W38" s="69"/>
      <c r="X38" s="69"/>
      <c r="Y38" s="69"/>
      <c r="Z38" s="69"/>
    </row>
    <row r="39" spans="1:26" x14ac:dyDescent="0.45">
      <c r="A39" s="53"/>
      <c r="B39" s="53"/>
      <c r="C39" s="53"/>
      <c r="D39" s="53"/>
      <c r="E39" s="53"/>
      <c r="F39" s="53"/>
      <c r="G39" s="53"/>
      <c r="H39" s="53"/>
      <c r="I39" s="53"/>
      <c r="J39" s="53"/>
      <c r="K39" s="53"/>
      <c r="L39" s="53"/>
      <c r="M39" s="53"/>
      <c r="N39" s="53"/>
      <c r="O39" s="53"/>
      <c r="P39" s="53"/>
      <c r="Q39" s="53"/>
      <c r="R39" s="53"/>
      <c r="S39" s="53"/>
      <c r="T39" s="69"/>
      <c r="U39" s="69"/>
      <c r="V39" s="69"/>
      <c r="W39" s="69"/>
      <c r="X39" s="69"/>
      <c r="Y39" s="69"/>
      <c r="Z39" s="69"/>
    </row>
    <row r="40" spans="1:26" x14ac:dyDescent="0.45">
      <c r="A40" s="53"/>
      <c r="B40" s="53"/>
      <c r="C40" s="53"/>
      <c r="D40" s="53"/>
      <c r="E40" s="53"/>
      <c r="F40" s="53"/>
      <c r="G40" s="53"/>
      <c r="H40" s="53"/>
      <c r="I40" s="53"/>
      <c r="J40" s="53"/>
      <c r="K40" s="53"/>
      <c r="L40" s="53"/>
      <c r="M40" s="53"/>
      <c r="N40" s="53"/>
      <c r="O40" s="53"/>
      <c r="P40" s="53"/>
      <c r="Q40" s="53"/>
      <c r="R40" s="53"/>
      <c r="S40" s="53"/>
      <c r="T40" s="69"/>
      <c r="U40" s="69"/>
      <c r="V40" s="69"/>
      <c r="W40" s="69"/>
      <c r="X40" s="69"/>
      <c r="Y40" s="69"/>
      <c r="Z40" s="69"/>
    </row>
    <row r="41" spans="1:26" x14ac:dyDescent="0.45">
      <c r="A41" s="53"/>
      <c r="B41" s="53"/>
      <c r="C41" s="53"/>
      <c r="D41" s="53"/>
      <c r="E41" s="53"/>
      <c r="F41" s="53"/>
      <c r="G41" s="53"/>
      <c r="H41" s="53"/>
      <c r="I41" s="53"/>
      <c r="J41" s="53"/>
      <c r="K41" s="53"/>
      <c r="L41" s="53"/>
      <c r="M41" s="53"/>
      <c r="N41" s="53"/>
      <c r="O41" s="53"/>
      <c r="P41" s="53"/>
      <c r="Q41" s="53"/>
      <c r="R41" s="53"/>
      <c r="S41" s="53"/>
      <c r="T41" s="69"/>
      <c r="U41" s="69"/>
      <c r="V41" s="69"/>
      <c r="W41" s="69"/>
      <c r="X41" s="69"/>
      <c r="Y41" s="69"/>
      <c r="Z41" s="69"/>
    </row>
    <row r="42" spans="1:26" x14ac:dyDescent="0.45">
      <c r="A42" s="53"/>
      <c r="B42" s="53"/>
      <c r="C42" s="53"/>
      <c r="D42" s="53"/>
      <c r="E42" s="53"/>
      <c r="F42" s="53"/>
      <c r="G42" s="53"/>
      <c r="H42" s="53"/>
      <c r="I42" s="53"/>
      <c r="J42" s="53"/>
      <c r="K42" s="53"/>
      <c r="L42" s="53"/>
      <c r="M42" s="53"/>
      <c r="N42" s="53"/>
      <c r="O42" s="53"/>
      <c r="P42" s="53"/>
      <c r="Q42" s="53"/>
      <c r="R42" s="53"/>
      <c r="S42" s="53"/>
      <c r="T42" s="69"/>
      <c r="U42" s="69"/>
      <c r="V42" s="69"/>
      <c r="W42" s="69"/>
      <c r="X42" s="69"/>
      <c r="Y42" s="69"/>
      <c r="Z42" s="69"/>
    </row>
    <row r="43" spans="1:26" x14ac:dyDescent="0.45">
      <c r="A43" s="53"/>
      <c r="B43" s="53"/>
      <c r="C43" s="53"/>
      <c r="D43" s="53"/>
      <c r="E43" s="53"/>
      <c r="F43" s="53"/>
      <c r="G43" s="53"/>
      <c r="H43" s="53"/>
      <c r="I43" s="53"/>
      <c r="J43" s="53"/>
      <c r="K43" s="53"/>
      <c r="L43" s="53"/>
      <c r="M43" s="53"/>
      <c r="N43" s="53"/>
      <c r="O43" s="53"/>
      <c r="P43" s="53"/>
      <c r="Q43" s="53"/>
      <c r="R43" s="53"/>
      <c r="S43" s="53"/>
      <c r="T43" s="69"/>
      <c r="U43" s="69"/>
      <c r="V43" s="69"/>
      <c r="W43" s="69"/>
      <c r="X43" s="69"/>
      <c r="Y43" s="69"/>
      <c r="Z43" s="69"/>
    </row>
    <row r="44" spans="1:26" x14ac:dyDescent="0.45">
      <c r="A44" s="53"/>
      <c r="B44" s="53"/>
      <c r="C44" s="53"/>
      <c r="D44" s="53"/>
      <c r="E44" s="53"/>
      <c r="F44" s="53"/>
      <c r="G44" s="53"/>
      <c r="H44" s="53"/>
      <c r="I44" s="53"/>
      <c r="J44" s="53"/>
      <c r="K44" s="53"/>
      <c r="L44" s="53"/>
      <c r="M44" s="53"/>
      <c r="N44" s="53"/>
      <c r="O44" s="53"/>
      <c r="P44" s="53"/>
      <c r="Q44" s="53"/>
      <c r="R44" s="53"/>
      <c r="S44" s="53"/>
      <c r="T44" s="69"/>
      <c r="U44" s="69"/>
      <c r="V44" s="69"/>
      <c r="W44" s="69"/>
      <c r="X44" s="69"/>
      <c r="Y44" s="69"/>
      <c r="Z44" s="69"/>
    </row>
    <row r="45" spans="1:26" x14ac:dyDescent="0.45">
      <c r="A45" s="53"/>
      <c r="B45" s="53"/>
      <c r="C45" s="53"/>
      <c r="D45" s="53"/>
      <c r="E45" s="53"/>
      <c r="F45" s="53"/>
      <c r="G45" s="53"/>
      <c r="H45" s="53"/>
      <c r="I45" s="53"/>
      <c r="J45" s="53"/>
      <c r="K45" s="53"/>
      <c r="L45" s="53"/>
      <c r="M45" s="53"/>
      <c r="N45" s="53"/>
      <c r="O45" s="53"/>
      <c r="P45" s="53"/>
      <c r="Q45" s="53"/>
      <c r="R45" s="53"/>
      <c r="S45" s="53"/>
      <c r="T45" s="69"/>
      <c r="U45" s="69"/>
      <c r="V45" s="69"/>
      <c r="W45" s="69"/>
      <c r="X45" s="69"/>
      <c r="Y45" s="69"/>
      <c r="Z45" s="69"/>
    </row>
    <row r="46" spans="1:26" x14ac:dyDescent="0.45">
      <c r="A46" s="53"/>
      <c r="B46" s="53"/>
      <c r="C46" s="53"/>
      <c r="D46" s="53"/>
      <c r="E46" s="53"/>
      <c r="F46" s="53"/>
      <c r="G46" s="53"/>
      <c r="H46" s="53"/>
      <c r="I46" s="53"/>
      <c r="J46" s="53"/>
      <c r="K46" s="53"/>
      <c r="L46" s="53"/>
      <c r="M46" s="53"/>
      <c r="N46" s="53"/>
      <c r="O46" s="53"/>
      <c r="P46" s="53"/>
      <c r="Q46" s="53"/>
      <c r="R46" s="53"/>
      <c r="S46" s="53"/>
    </row>
    <row r="47" spans="1:26" x14ac:dyDescent="0.45">
      <c r="A47" s="53"/>
      <c r="B47" s="53"/>
      <c r="C47" s="53"/>
      <c r="D47" s="53"/>
      <c r="E47" s="53"/>
      <c r="F47" s="53"/>
      <c r="G47" s="53"/>
      <c r="H47" s="53"/>
      <c r="I47" s="53"/>
      <c r="J47" s="53"/>
      <c r="K47" s="53"/>
      <c r="L47" s="53"/>
      <c r="M47" s="53"/>
      <c r="N47" s="53"/>
      <c r="O47" s="53"/>
      <c r="P47" s="53"/>
      <c r="Q47" s="53"/>
      <c r="R47" s="53"/>
      <c r="S47" s="53"/>
    </row>
    <row r="48" spans="1:26" x14ac:dyDescent="0.45">
      <c r="A48" s="53"/>
      <c r="B48" s="53"/>
      <c r="C48" s="53"/>
      <c r="D48" s="53"/>
      <c r="E48" s="53"/>
      <c r="F48" s="53"/>
      <c r="G48" s="53"/>
      <c r="H48" s="53"/>
      <c r="I48" s="53"/>
      <c r="J48" s="53"/>
      <c r="K48" s="53"/>
      <c r="L48" s="53"/>
      <c r="M48" s="53"/>
      <c r="N48" s="53"/>
      <c r="O48" s="53"/>
      <c r="P48" s="53"/>
      <c r="Q48" s="53"/>
      <c r="R48" s="53"/>
      <c r="S48" s="53"/>
    </row>
    <row r="49" spans="1:19" x14ac:dyDescent="0.45">
      <c r="A49" s="53"/>
      <c r="B49" s="53"/>
      <c r="C49" s="53"/>
      <c r="D49" s="53"/>
      <c r="E49" s="53"/>
      <c r="F49" s="53"/>
      <c r="G49" s="53"/>
      <c r="H49" s="53"/>
      <c r="I49" s="53"/>
      <c r="J49" s="53"/>
      <c r="K49" s="53"/>
      <c r="L49" s="53"/>
      <c r="M49" s="53"/>
      <c r="N49" s="53"/>
      <c r="O49" s="53"/>
      <c r="P49" s="53"/>
      <c r="Q49" s="53"/>
      <c r="R49" s="53"/>
      <c r="S49" s="53"/>
    </row>
    <row r="50" spans="1:19" x14ac:dyDescent="0.45">
      <c r="A50" s="53"/>
      <c r="B50" s="53"/>
      <c r="C50" s="53"/>
      <c r="D50" s="53"/>
      <c r="E50" s="53"/>
      <c r="F50" s="53"/>
      <c r="G50" s="53"/>
      <c r="H50" s="53"/>
      <c r="I50" s="53"/>
      <c r="J50" s="53"/>
      <c r="K50" s="53"/>
      <c r="L50" s="53"/>
      <c r="M50" s="53"/>
      <c r="N50" s="53"/>
      <c r="O50" s="53"/>
      <c r="P50" s="53"/>
      <c r="Q50" s="53"/>
      <c r="R50" s="53"/>
      <c r="S50" s="53"/>
    </row>
    <row r="51" spans="1:19" x14ac:dyDescent="0.45">
      <c r="A51" s="53"/>
      <c r="B51" s="53"/>
      <c r="C51" s="53"/>
      <c r="D51" s="53"/>
      <c r="E51" s="53"/>
      <c r="F51" s="53"/>
      <c r="G51" s="53"/>
      <c r="H51" s="53"/>
      <c r="I51" s="53"/>
      <c r="J51" s="53"/>
      <c r="K51" s="53"/>
      <c r="L51" s="53"/>
      <c r="M51" s="53"/>
      <c r="N51" s="53"/>
      <c r="O51" s="53"/>
      <c r="P51" s="53"/>
      <c r="Q51" s="53"/>
      <c r="R51" s="53"/>
      <c r="S51" s="53"/>
    </row>
    <row r="52" spans="1:19" x14ac:dyDescent="0.45">
      <c r="A52" s="53"/>
      <c r="B52" s="53"/>
      <c r="C52" s="53"/>
      <c r="D52" s="53"/>
      <c r="E52" s="53"/>
      <c r="F52" s="53"/>
      <c r="G52" s="53"/>
      <c r="H52" s="53"/>
      <c r="I52" s="53"/>
      <c r="J52" s="53"/>
      <c r="K52" s="53"/>
      <c r="L52" s="53"/>
      <c r="M52" s="53"/>
      <c r="N52" s="53"/>
      <c r="O52" s="53"/>
      <c r="P52" s="53"/>
      <c r="Q52" s="53"/>
      <c r="R52" s="53"/>
      <c r="S52" s="53"/>
    </row>
    <row r="53" spans="1:19" x14ac:dyDescent="0.45">
      <c r="A53" s="53"/>
      <c r="B53" s="53"/>
      <c r="C53" s="53"/>
      <c r="D53" s="53"/>
      <c r="E53" s="53"/>
      <c r="F53" s="53"/>
      <c r="G53" s="53"/>
      <c r="H53" s="53"/>
      <c r="I53" s="53"/>
      <c r="J53" s="53"/>
      <c r="K53" s="53"/>
      <c r="L53" s="53"/>
      <c r="M53" s="53"/>
      <c r="N53" s="53"/>
      <c r="O53" s="53"/>
      <c r="P53" s="53"/>
      <c r="Q53" s="53"/>
      <c r="R53" s="53"/>
      <c r="S53" s="53"/>
    </row>
    <row r="54" spans="1:19" x14ac:dyDescent="0.45">
      <c r="A54" s="53"/>
      <c r="B54" s="53"/>
      <c r="C54" s="53"/>
      <c r="D54" s="53"/>
      <c r="E54" s="53"/>
      <c r="F54" s="53"/>
      <c r="G54" s="53"/>
      <c r="H54" s="53"/>
      <c r="I54" s="53"/>
      <c r="J54" s="53"/>
      <c r="K54" s="53"/>
      <c r="L54" s="53"/>
      <c r="M54" s="53"/>
      <c r="N54" s="53"/>
      <c r="O54" s="53"/>
      <c r="P54" s="53"/>
      <c r="Q54" s="53"/>
      <c r="R54" s="53"/>
      <c r="S54" s="53"/>
    </row>
    <row r="55" spans="1:19" x14ac:dyDescent="0.45">
      <c r="A55" s="53"/>
      <c r="B55" s="53"/>
      <c r="C55" s="53"/>
      <c r="D55" s="53"/>
      <c r="E55" s="53"/>
      <c r="F55" s="53"/>
      <c r="G55" s="53"/>
      <c r="H55" s="53"/>
      <c r="I55" s="53"/>
      <c r="J55" s="53"/>
      <c r="K55" s="53"/>
      <c r="L55" s="53"/>
      <c r="M55" s="53"/>
      <c r="N55" s="53"/>
      <c r="O55" s="53"/>
      <c r="P55" s="53"/>
      <c r="Q55" s="53"/>
      <c r="R55" s="53"/>
      <c r="S55" s="53"/>
    </row>
    <row r="56" spans="1:19" x14ac:dyDescent="0.45">
      <c r="A56" s="53"/>
      <c r="B56" s="53"/>
      <c r="C56" s="53"/>
      <c r="D56" s="53"/>
      <c r="E56" s="53"/>
      <c r="F56" s="53"/>
      <c r="G56" s="53"/>
      <c r="H56" s="53"/>
      <c r="I56" s="53"/>
      <c r="J56" s="53"/>
      <c r="K56" s="53"/>
      <c r="L56" s="53"/>
      <c r="M56" s="53"/>
      <c r="N56" s="53"/>
      <c r="O56" s="53"/>
      <c r="P56" s="53"/>
      <c r="Q56" s="53"/>
      <c r="R56" s="53"/>
      <c r="S56" s="53"/>
    </row>
    <row r="57" spans="1:19" x14ac:dyDescent="0.45">
      <c r="A57" s="25"/>
      <c r="B57" s="25"/>
      <c r="C57" s="25"/>
      <c r="D57" s="25"/>
      <c r="E57" s="25"/>
      <c r="F57" s="25"/>
      <c r="G57" s="25"/>
      <c r="H57" s="25"/>
      <c r="I57" s="25"/>
      <c r="J57" s="25"/>
      <c r="K57" s="25"/>
      <c r="L57" s="25"/>
      <c r="M57" s="25"/>
      <c r="N57" s="25"/>
      <c r="O57" s="25"/>
      <c r="P57" s="25"/>
      <c r="Q57" s="25"/>
      <c r="R57" s="25"/>
      <c r="S57" s="25"/>
    </row>
    <row r="58" spans="1:19" x14ac:dyDescent="0.45">
      <c r="A58" s="25"/>
      <c r="B58" s="25"/>
      <c r="C58" s="25"/>
      <c r="D58" s="25"/>
      <c r="E58" s="25"/>
      <c r="F58" s="25"/>
      <c r="G58" s="25"/>
      <c r="H58" s="25"/>
      <c r="I58" s="25"/>
      <c r="J58" s="25"/>
      <c r="K58" s="25"/>
      <c r="L58" s="25"/>
      <c r="M58" s="25"/>
      <c r="N58" s="25"/>
      <c r="O58" s="25"/>
      <c r="P58" s="25"/>
      <c r="Q58" s="25"/>
      <c r="R58" s="25"/>
      <c r="S58" s="25"/>
    </row>
    <row r="59" spans="1:19" x14ac:dyDescent="0.45">
      <c r="A59" s="25"/>
      <c r="B59" s="25"/>
      <c r="C59" s="25"/>
      <c r="D59" s="25"/>
      <c r="E59" s="25"/>
      <c r="F59" s="25"/>
      <c r="G59" s="25"/>
      <c r="H59" s="25"/>
      <c r="I59" s="25"/>
      <c r="J59" s="25"/>
      <c r="K59" s="25"/>
      <c r="L59" s="25"/>
      <c r="M59" s="25"/>
      <c r="N59" s="25"/>
      <c r="O59" s="25"/>
      <c r="P59" s="25"/>
      <c r="Q59" s="25"/>
      <c r="R59" s="25"/>
      <c r="S59" s="25"/>
    </row>
    <row r="60" spans="1:19" x14ac:dyDescent="0.45">
      <c r="A60" s="25"/>
      <c r="B60" s="25"/>
      <c r="C60" s="25"/>
      <c r="D60" s="25"/>
      <c r="E60" s="25"/>
      <c r="F60" s="25"/>
      <c r="G60" s="25"/>
      <c r="H60" s="25"/>
      <c r="I60" s="25"/>
      <c r="J60" s="25"/>
      <c r="K60" s="25"/>
      <c r="L60" s="25"/>
      <c r="M60" s="25"/>
      <c r="N60" s="25"/>
      <c r="O60" s="25"/>
      <c r="P60" s="25"/>
      <c r="Q60" s="25"/>
      <c r="R60" s="25"/>
      <c r="S60" s="25"/>
    </row>
  </sheetData>
  <mergeCells count="13">
    <mergeCell ref="B21:S21"/>
    <mergeCell ref="K7:S7"/>
    <mergeCell ref="A1:S1"/>
    <mergeCell ref="A2:S2"/>
    <mergeCell ref="B4:C4"/>
    <mergeCell ref="D4:E4"/>
    <mergeCell ref="F4:G4"/>
    <mergeCell ref="H4:I4"/>
    <mergeCell ref="B5:C5"/>
    <mergeCell ref="D5:E5"/>
    <mergeCell ref="F5:G5"/>
    <mergeCell ref="H5:I5"/>
    <mergeCell ref="B7:I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4"/>
  <sheetViews>
    <sheetView tabSelected="1" topLeftCell="A16" zoomScale="103" zoomScaleNormal="100" workbookViewId="0">
      <selection activeCell="A26" sqref="A26"/>
    </sheetView>
  </sheetViews>
  <sheetFormatPr defaultColWidth="8.6640625" defaultRowHeight="14.25" x14ac:dyDescent="0.45"/>
  <cols>
    <col min="1" max="1" width="28" customWidth="1"/>
    <col min="2" max="2" width="90" customWidth="1"/>
  </cols>
  <sheetData>
    <row r="1" spans="1:5" ht="34.5" customHeight="1" x14ac:dyDescent="0.45">
      <c r="A1" s="49" t="s">
        <v>1267</v>
      </c>
      <c r="B1" s="49"/>
      <c r="C1" s="49"/>
      <c r="D1" s="49"/>
      <c r="E1" s="49"/>
    </row>
    <row r="2" spans="1:5" ht="19.5" customHeight="1" x14ac:dyDescent="0.45"/>
    <row r="3" spans="1:5" ht="24" customHeight="1" x14ac:dyDescent="0.45">
      <c r="A3" s="47" t="s">
        <v>1268</v>
      </c>
      <c r="B3" s="47"/>
      <c r="C3" s="47"/>
      <c r="D3" s="47"/>
      <c r="E3" s="47"/>
    </row>
    <row r="4" spans="1:5" ht="19.5" customHeight="1" x14ac:dyDescent="0.45">
      <c r="A4" s="19" t="s">
        <v>1269</v>
      </c>
      <c r="B4" s="46" t="s">
        <v>1270</v>
      </c>
      <c r="C4" s="46"/>
      <c r="D4" s="46"/>
      <c r="E4" s="46"/>
    </row>
    <row r="5" spans="1:5" ht="19.5" customHeight="1" x14ac:dyDescent="0.45">
      <c r="A5" s="20" t="s">
        <v>1271</v>
      </c>
      <c r="B5" s="45" t="s">
        <v>1272</v>
      </c>
      <c r="C5" s="45"/>
      <c r="D5" s="45"/>
      <c r="E5" s="45"/>
    </row>
    <row r="6" spans="1:5" ht="19.5" customHeight="1" x14ac:dyDescent="0.45">
      <c r="A6" s="19" t="s">
        <v>1273</v>
      </c>
      <c r="B6" s="46" t="s">
        <v>1274</v>
      </c>
      <c r="C6" s="46"/>
      <c r="D6" s="46"/>
      <c r="E6" s="46"/>
    </row>
    <row r="7" spans="1:5" ht="19.5" customHeight="1" x14ac:dyDescent="0.45"/>
    <row r="8" spans="1:5" ht="24" customHeight="1" x14ac:dyDescent="0.45">
      <c r="A8" s="47" t="s">
        <v>1275</v>
      </c>
      <c r="B8" s="47"/>
      <c r="C8" s="47"/>
      <c r="D8" s="47"/>
      <c r="E8" s="47"/>
    </row>
    <row r="9" spans="1:5" ht="27" customHeight="1" x14ac:dyDescent="0.45">
      <c r="A9" s="20" t="s">
        <v>1276</v>
      </c>
      <c r="B9" s="45" t="s">
        <v>1277</v>
      </c>
      <c r="C9" s="45"/>
      <c r="D9" s="45"/>
      <c r="E9" s="45"/>
    </row>
    <row r="10" spans="1:5" ht="39.4" customHeight="1" x14ac:dyDescent="0.45">
      <c r="A10" s="19" t="s">
        <v>1278</v>
      </c>
      <c r="B10" s="48" t="s">
        <v>1279</v>
      </c>
      <c r="C10" s="46"/>
      <c r="D10" s="46"/>
      <c r="E10" s="46"/>
    </row>
    <row r="11" spans="1:5" ht="19.5" customHeight="1" x14ac:dyDescent="0.45">
      <c r="A11" s="20" t="s">
        <v>1280</v>
      </c>
      <c r="B11" s="45" t="s">
        <v>1281</v>
      </c>
      <c r="C11" s="45"/>
      <c r="D11" s="45"/>
      <c r="E11" s="45"/>
    </row>
    <row r="12" spans="1:5" ht="19.5" customHeight="1" x14ac:dyDescent="0.45">
      <c r="A12" s="19" t="s">
        <v>1265</v>
      </c>
      <c r="B12" s="46" t="s">
        <v>1282</v>
      </c>
      <c r="C12" s="46"/>
      <c r="D12" s="46"/>
      <c r="E12" s="46"/>
    </row>
    <row r="13" spans="1:5" ht="19.5" customHeight="1" x14ac:dyDescent="0.45">
      <c r="A13" s="20" t="s">
        <v>1283</v>
      </c>
      <c r="B13" s="45"/>
      <c r="C13" s="45"/>
      <c r="D13" s="45"/>
      <c r="E13" s="45"/>
    </row>
    <row r="14" spans="1:5" ht="19.5" customHeight="1" x14ac:dyDescent="0.45"/>
    <row r="15" spans="1:5" ht="24" customHeight="1" x14ac:dyDescent="0.45">
      <c r="A15" s="47" t="s">
        <v>1284</v>
      </c>
      <c r="B15" s="47"/>
      <c r="C15" s="47"/>
      <c r="D15" s="47"/>
      <c r="E15" s="47"/>
    </row>
    <row r="16" spans="1:5" ht="19.5" customHeight="1" x14ac:dyDescent="0.45">
      <c r="A16" s="19" t="s">
        <v>1285</v>
      </c>
      <c r="B16" s="46" t="s">
        <v>1286</v>
      </c>
      <c r="C16" s="46"/>
      <c r="D16" s="46"/>
      <c r="E16" s="46"/>
    </row>
    <row r="17" spans="1:5" ht="19.5" customHeight="1" x14ac:dyDescent="0.45">
      <c r="A17" s="20" t="s">
        <v>1287</v>
      </c>
      <c r="B17" s="45" t="s">
        <v>1288</v>
      </c>
      <c r="C17" s="45"/>
      <c r="D17" s="45"/>
      <c r="E17" s="45"/>
    </row>
    <row r="18" spans="1:5" ht="19.5" customHeight="1" x14ac:dyDescent="0.45">
      <c r="A18" s="19" t="s">
        <v>1289</v>
      </c>
      <c r="B18" s="46" t="s">
        <v>1290</v>
      </c>
      <c r="C18" s="46"/>
      <c r="D18" s="46"/>
      <c r="E18" s="46"/>
    </row>
    <row r="19" spans="1:5" ht="19.5" customHeight="1" x14ac:dyDescent="0.45">
      <c r="A19" s="20" t="s">
        <v>1291</v>
      </c>
      <c r="B19" s="45" t="s">
        <v>1292</v>
      </c>
      <c r="C19" s="45"/>
      <c r="D19" s="45"/>
      <c r="E19" s="45"/>
    </row>
    <row r="20" spans="1:5" ht="19.5" customHeight="1" x14ac:dyDescent="0.45"/>
    <row r="21" spans="1:5" ht="24" customHeight="1" x14ac:dyDescent="0.45">
      <c r="A21" s="47" t="s">
        <v>1293</v>
      </c>
      <c r="B21" s="47"/>
      <c r="C21" s="47"/>
      <c r="D21" s="47"/>
      <c r="E21" s="47"/>
    </row>
    <row r="22" spans="1:5" ht="19.5" customHeight="1" x14ac:dyDescent="0.45">
      <c r="A22" s="19" t="s">
        <v>1294</v>
      </c>
      <c r="B22" s="46" t="s">
        <v>1295</v>
      </c>
      <c r="C22" s="46"/>
      <c r="D22" s="46"/>
      <c r="E22" s="46"/>
    </row>
    <row r="23" spans="1:5" ht="19.5" customHeight="1" x14ac:dyDescent="0.45">
      <c r="A23" s="20" t="s">
        <v>1296</v>
      </c>
      <c r="B23" s="45" t="s">
        <v>1297</v>
      </c>
      <c r="C23" s="45"/>
      <c r="D23" s="45"/>
      <c r="E23" s="45"/>
    </row>
    <row r="24" spans="1:5" ht="19.5" customHeight="1" x14ac:dyDescent="0.45">
      <c r="A24" s="19" t="s">
        <v>1298</v>
      </c>
      <c r="B24" s="46" t="s">
        <v>1299</v>
      </c>
      <c r="C24" s="46"/>
      <c r="D24" s="46"/>
      <c r="E24" s="46"/>
    </row>
    <row r="25" spans="1:5" ht="19.5" customHeight="1" x14ac:dyDescent="0.45">
      <c r="A25" s="20" t="s">
        <v>1300</v>
      </c>
      <c r="B25" s="45" t="s">
        <v>1301</v>
      </c>
      <c r="C25" s="45"/>
      <c r="D25" s="45"/>
      <c r="E25" s="45"/>
    </row>
    <row r="26" spans="1:5" ht="19.5" customHeight="1" x14ac:dyDescent="0.45">
      <c r="A26" s="19" t="s">
        <v>1302</v>
      </c>
      <c r="B26" s="46" t="s">
        <v>1303</v>
      </c>
      <c r="C26" s="46"/>
      <c r="D26" s="46"/>
      <c r="E26" s="46"/>
    </row>
    <row r="27" spans="1:5" ht="19.5" customHeight="1" x14ac:dyDescent="0.45">
      <c r="A27" s="20" t="s">
        <v>1304</v>
      </c>
      <c r="B27" s="45" t="s">
        <v>1305</v>
      </c>
      <c r="C27" s="45"/>
      <c r="D27" s="45"/>
      <c r="E27" s="45"/>
    </row>
    <row r="28" spans="1:5" ht="19.5" customHeight="1" x14ac:dyDescent="0.45"/>
    <row r="29" spans="1:5" ht="24" customHeight="1" x14ac:dyDescent="0.45">
      <c r="A29" s="47" t="s">
        <v>1306</v>
      </c>
      <c r="B29" s="47"/>
      <c r="C29" s="47"/>
      <c r="D29" s="47"/>
      <c r="E29" s="47"/>
    </row>
    <row r="30" spans="1:5" ht="19.5" customHeight="1" x14ac:dyDescent="0.45">
      <c r="A30" s="19" t="s">
        <v>1307</v>
      </c>
      <c r="B30" s="46" t="s">
        <v>1308</v>
      </c>
      <c r="C30" s="46"/>
      <c r="D30" s="46"/>
      <c r="E30" s="46"/>
    </row>
    <row r="31" spans="1:5" ht="19.5" customHeight="1" x14ac:dyDescent="0.45">
      <c r="A31" s="20" t="s">
        <v>1309</v>
      </c>
      <c r="B31" s="45" t="s">
        <v>1310</v>
      </c>
      <c r="C31" s="45"/>
      <c r="D31" s="45"/>
      <c r="E31" s="45"/>
    </row>
    <row r="32" spans="1:5" ht="19.5" customHeight="1" x14ac:dyDescent="0.45">
      <c r="A32" s="19" t="s">
        <v>1311</v>
      </c>
      <c r="B32" s="46" t="s">
        <v>1312</v>
      </c>
      <c r="C32" s="46"/>
      <c r="D32" s="46"/>
      <c r="E32" s="46"/>
    </row>
    <row r="33" spans="1:5" ht="19.5" customHeight="1" x14ac:dyDescent="0.45">
      <c r="A33" s="20" t="s">
        <v>1313</v>
      </c>
      <c r="B33" s="45" t="s">
        <v>1314</v>
      </c>
      <c r="C33" s="45"/>
      <c r="D33" s="45"/>
      <c r="E33" s="45"/>
    </row>
    <row r="34" spans="1:5" ht="19.5" customHeight="1" x14ac:dyDescent="0.45">
      <c r="A34" s="19" t="s">
        <v>1315</v>
      </c>
      <c r="B34" s="46" t="s">
        <v>1316</v>
      </c>
      <c r="C34" s="46"/>
      <c r="D34" s="46"/>
      <c r="E34" s="46"/>
    </row>
  </sheetData>
  <mergeCells count="29">
    <mergeCell ref="A1:E1"/>
    <mergeCell ref="A3:E3"/>
    <mergeCell ref="B4:E4"/>
    <mergeCell ref="B5:E5"/>
    <mergeCell ref="B6:E6"/>
    <mergeCell ref="A8:E8"/>
    <mergeCell ref="B9:E9"/>
    <mergeCell ref="B10:E10"/>
    <mergeCell ref="B11:E11"/>
    <mergeCell ref="B12:E12"/>
    <mergeCell ref="B13:E13"/>
    <mergeCell ref="A15:E15"/>
    <mergeCell ref="B16:E16"/>
    <mergeCell ref="B17:E17"/>
    <mergeCell ref="B18:E18"/>
    <mergeCell ref="B19:E19"/>
    <mergeCell ref="A21:E21"/>
    <mergeCell ref="B22:E22"/>
    <mergeCell ref="B23:E23"/>
    <mergeCell ref="B24:E24"/>
    <mergeCell ref="B31:E31"/>
    <mergeCell ref="B32:E32"/>
    <mergeCell ref="B33:E33"/>
    <mergeCell ref="B34:E34"/>
    <mergeCell ref="B25:E25"/>
    <mergeCell ref="B26:E26"/>
    <mergeCell ref="B27:E27"/>
    <mergeCell ref="A29:E29"/>
    <mergeCell ref="B30:E3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Raw_Actuals</vt:lpstr>
      <vt:lpstr>Budget_Table</vt:lpstr>
      <vt:lpstr>Variance_Tracker</vt:lpstr>
      <vt:lpstr>Dashboard</vt:lpstr>
      <vt:lpstr>📋 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Tushar -Gupta</cp:lastModifiedBy>
  <cp:revision>0</cp:revision>
  <dcterms:created xsi:type="dcterms:W3CDTF">2026-04-19T18:34:14Z</dcterms:created>
  <dcterms:modified xsi:type="dcterms:W3CDTF">2026-04-25T14:50:20Z</dcterms:modified>
  <dc:language>en-US</dc:language>
</cp:coreProperties>
</file>